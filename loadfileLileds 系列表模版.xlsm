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480" yWindow="0" windowWidth="19710" windowHeight="7635" activeTab="5"/>
  </bookViews>
  <sheets>
    <sheet name="生产" sheetId="1" r:id="rId1"/>
    <sheet name="配料" sheetId="2" r:id="rId2"/>
    <sheet name="采购" sheetId="3" r:id="rId3"/>
    <sheet name="成品" sheetId="4" r:id="rId4"/>
    <sheet name="出货" sheetId="5" r:id="rId5"/>
    <sheet name="DATE" sheetId="6" r:id="rId6"/>
    <sheet name="Sheet7" sheetId="7" r:id="rId7"/>
  </sheets>
  <calcPr calcId="144525"/>
</workbook>
</file>

<file path=xl/calcChain.xml><?xml version="1.0" encoding="utf-8"?>
<calcChain xmlns="http://schemas.openxmlformats.org/spreadsheetml/2006/main">
  <c r="A11" i="1" l="1"/>
  <c r="R13" i="1"/>
  <c r="Q47" i="5" l="1"/>
  <c r="P47" i="5"/>
  <c r="O47" i="5"/>
  <c r="U43" i="5"/>
  <c r="T43" i="5"/>
  <c r="S43" i="5"/>
  <c r="R43" i="5"/>
  <c r="Q43" i="5"/>
  <c r="P43" i="5"/>
  <c r="O43" i="5"/>
  <c r="U39" i="5"/>
  <c r="T39" i="5"/>
  <c r="S39" i="5"/>
  <c r="R39" i="5"/>
  <c r="Q39" i="5"/>
  <c r="P39" i="5"/>
  <c r="O39" i="5"/>
  <c r="U35" i="5"/>
  <c r="T35" i="5"/>
  <c r="S35" i="5"/>
  <c r="R35" i="5"/>
  <c r="Q35" i="5"/>
  <c r="P35" i="5"/>
  <c r="O35" i="5"/>
  <c r="U31" i="5"/>
  <c r="T31" i="5"/>
  <c r="S31" i="5"/>
  <c r="R31" i="5"/>
  <c r="Q31" i="5"/>
  <c r="P31" i="5"/>
  <c r="O25" i="5"/>
  <c r="U21" i="5"/>
  <c r="T21" i="5"/>
  <c r="S21" i="5"/>
  <c r="R21" i="5"/>
  <c r="Q21" i="5"/>
  <c r="P21" i="5"/>
  <c r="O21" i="5"/>
  <c r="U17" i="5"/>
  <c r="T17" i="5"/>
  <c r="S17" i="5"/>
  <c r="R17" i="5"/>
  <c r="Q17" i="5"/>
  <c r="P17" i="5"/>
  <c r="O17" i="5"/>
  <c r="U13" i="5"/>
  <c r="T13" i="5"/>
  <c r="S13" i="5"/>
  <c r="R13" i="5"/>
  <c r="Q47" i="4"/>
  <c r="P47" i="4"/>
  <c r="O47" i="4"/>
  <c r="U43" i="4"/>
  <c r="T43" i="4"/>
  <c r="S43" i="4"/>
  <c r="R43" i="4"/>
  <c r="Q43" i="4"/>
  <c r="P43" i="4"/>
  <c r="O43" i="4"/>
  <c r="U39" i="4"/>
  <c r="T39" i="4"/>
  <c r="S39" i="4"/>
  <c r="R39" i="4"/>
  <c r="Q39" i="4"/>
  <c r="P39" i="4"/>
  <c r="O39" i="4"/>
  <c r="U35" i="4"/>
  <c r="T35" i="4"/>
  <c r="S35" i="4"/>
  <c r="R35" i="4"/>
  <c r="Q35" i="4"/>
  <c r="P35" i="4"/>
  <c r="O35" i="4"/>
  <c r="U31" i="4"/>
  <c r="T31" i="4"/>
  <c r="S31" i="4"/>
  <c r="R31" i="4"/>
  <c r="Q31" i="4"/>
  <c r="P31" i="4"/>
  <c r="O25" i="4"/>
  <c r="U21" i="4"/>
  <c r="T21" i="4"/>
  <c r="S21" i="4"/>
  <c r="R21" i="4"/>
  <c r="Q21" i="4"/>
  <c r="P21" i="4"/>
  <c r="O21" i="4"/>
  <c r="U17" i="4"/>
  <c r="T17" i="4"/>
  <c r="S17" i="4"/>
  <c r="R17" i="4"/>
  <c r="Q17" i="4"/>
  <c r="P17" i="4"/>
  <c r="O17" i="4"/>
  <c r="U13" i="4"/>
  <c r="T13" i="4"/>
  <c r="S13" i="4"/>
  <c r="R13" i="4"/>
  <c r="Q47" i="3"/>
  <c r="P47" i="3"/>
  <c r="O47" i="3"/>
  <c r="U43" i="3"/>
  <c r="T43" i="3"/>
  <c r="S43" i="3"/>
  <c r="R43" i="3"/>
  <c r="Q43" i="3"/>
  <c r="P43" i="3"/>
  <c r="O43" i="3"/>
  <c r="U39" i="3"/>
  <c r="T39" i="3"/>
  <c r="S39" i="3"/>
  <c r="R39" i="3"/>
  <c r="Q39" i="3"/>
  <c r="P39" i="3"/>
  <c r="O39" i="3"/>
  <c r="U35" i="3"/>
  <c r="T35" i="3"/>
  <c r="S35" i="3"/>
  <c r="R35" i="3"/>
  <c r="Q35" i="3"/>
  <c r="P35" i="3"/>
  <c r="O35" i="3"/>
  <c r="U31" i="3"/>
  <c r="T31" i="3"/>
  <c r="S31" i="3"/>
  <c r="R31" i="3"/>
  <c r="Q31" i="3"/>
  <c r="P31" i="3"/>
  <c r="O25" i="3"/>
  <c r="U21" i="3"/>
  <c r="T21" i="3"/>
  <c r="S21" i="3"/>
  <c r="R21" i="3"/>
  <c r="Q21" i="3"/>
  <c r="P21" i="3"/>
  <c r="O21" i="3"/>
  <c r="U17" i="3"/>
  <c r="T17" i="3"/>
  <c r="S17" i="3"/>
  <c r="R17" i="3"/>
  <c r="Q17" i="3"/>
  <c r="P17" i="3"/>
  <c r="O17" i="3"/>
  <c r="U13" i="3"/>
  <c r="T13" i="3"/>
  <c r="S13" i="3"/>
  <c r="R13" i="3"/>
  <c r="Q47" i="2"/>
  <c r="P47" i="2"/>
  <c r="O47" i="2"/>
  <c r="U43" i="2"/>
  <c r="T43" i="2"/>
  <c r="S43" i="2"/>
  <c r="R43" i="2"/>
  <c r="Q43" i="2"/>
  <c r="P43" i="2"/>
  <c r="O43" i="2"/>
  <c r="U39" i="2"/>
  <c r="T39" i="2"/>
  <c r="S39" i="2"/>
  <c r="R39" i="2"/>
  <c r="Q39" i="2"/>
  <c r="P39" i="2"/>
  <c r="O39" i="2"/>
  <c r="U35" i="2"/>
  <c r="T35" i="2"/>
  <c r="S35" i="2"/>
  <c r="R35" i="2"/>
  <c r="Q35" i="2"/>
  <c r="P35" i="2"/>
  <c r="O35" i="2"/>
  <c r="U31" i="2"/>
  <c r="T31" i="2"/>
  <c r="S31" i="2"/>
  <c r="R31" i="2"/>
  <c r="Q31" i="2"/>
  <c r="P31" i="2"/>
  <c r="O25" i="2"/>
  <c r="U21" i="2"/>
  <c r="T21" i="2"/>
  <c r="S21" i="2"/>
  <c r="R21" i="2"/>
  <c r="Q21" i="2"/>
  <c r="P21" i="2"/>
  <c r="O21" i="2"/>
  <c r="U17" i="2"/>
  <c r="T17" i="2"/>
  <c r="S17" i="2"/>
  <c r="R17" i="2"/>
  <c r="Q17" i="2"/>
  <c r="P17" i="2"/>
  <c r="O17" i="2"/>
  <c r="U13" i="2"/>
  <c r="T13" i="2"/>
  <c r="S13" i="2"/>
  <c r="R13" i="2"/>
  <c r="Q47" i="1"/>
  <c r="P47" i="1"/>
  <c r="O47" i="1"/>
  <c r="O43" i="1"/>
  <c r="U43" i="1"/>
  <c r="T43" i="1"/>
  <c r="S43" i="1"/>
  <c r="R43" i="1"/>
  <c r="Q43" i="1"/>
  <c r="P43" i="1"/>
  <c r="U39" i="1"/>
  <c r="T39" i="1"/>
  <c r="S39" i="1"/>
  <c r="R39" i="1"/>
  <c r="Q39" i="1"/>
  <c r="P39" i="1"/>
  <c r="O39" i="1"/>
  <c r="U35" i="1"/>
  <c r="T35" i="1"/>
  <c r="S35" i="1"/>
  <c r="R35" i="1"/>
  <c r="Q35" i="1"/>
  <c r="P35" i="1"/>
  <c r="O35" i="1"/>
  <c r="U31" i="1"/>
  <c r="T31" i="1"/>
  <c r="S31" i="1"/>
  <c r="R31" i="1"/>
  <c r="Q31" i="1"/>
  <c r="P31" i="1"/>
  <c r="O25" i="1"/>
  <c r="U21" i="1"/>
  <c r="T21" i="1"/>
  <c r="S21" i="1"/>
  <c r="R21" i="1"/>
  <c r="Q21" i="1"/>
  <c r="P21" i="1"/>
  <c r="O21" i="1"/>
  <c r="U17" i="1"/>
  <c r="T17" i="1"/>
  <c r="S17" i="1"/>
  <c r="R17" i="1"/>
  <c r="Q17" i="1"/>
  <c r="P17" i="1"/>
  <c r="O17" i="1"/>
  <c r="U13" i="1"/>
  <c r="T13" i="1"/>
  <c r="S13" i="1"/>
  <c r="R12" i="6" l="1"/>
  <c r="R9" i="6"/>
  <c r="R8" i="6"/>
  <c r="R4" i="6"/>
  <c r="R3" i="6"/>
  <c r="A183" i="5"/>
  <c r="A180" i="5"/>
  <c r="A177" i="5"/>
  <c r="A174" i="5"/>
  <c r="A171" i="5"/>
  <c r="A168" i="5"/>
  <c r="A165" i="5"/>
  <c r="A162" i="5"/>
  <c r="A159" i="5"/>
  <c r="A156" i="5"/>
  <c r="A153" i="5"/>
  <c r="A150" i="5"/>
  <c r="A147" i="5"/>
  <c r="A144" i="5"/>
  <c r="A141" i="5"/>
  <c r="A138" i="5"/>
  <c r="A135" i="5"/>
  <c r="A132" i="5"/>
  <c r="A129" i="5"/>
  <c r="A126" i="5"/>
  <c r="A123" i="5"/>
  <c r="A120" i="5"/>
  <c r="A117" i="5"/>
  <c r="A114" i="5"/>
  <c r="A111" i="5"/>
  <c r="A108" i="5"/>
  <c r="A105" i="5"/>
  <c r="A102" i="5"/>
  <c r="A99" i="5"/>
  <c r="A96" i="5"/>
  <c r="A93" i="5"/>
  <c r="A90" i="5"/>
  <c r="A87" i="5"/>
  <c r="A84" i="5"/>
  <c r="A81" i="5"/>
  <c r="A78" i="5"/>
  <c r="A75" i="5"/>
  <c r="A72" i="5"/>
  <c r="A69" i="5"/>
  <c r="A66" i="5"/>
  <c r="A63" i="5"/>
  <c r="A60" i="5"/>
  <c r="A57" i="5"/>
  <c r="A54" i="5"/>
  <c r="A51" i="5"/>
  <c r="A48" i="5"/>
  <c r="A45" i="5"/>
  <c r="A42" i="5"/>
  <c r="A39" i="5"/>
  <c r="A36" i="5"/>
  <c r="A33" i="5"/>
  <c r="A30" i="5"/>
  <c r="A27" i="5"/>
  <c r="A24" i="5"/>
  <c r="A21" i="5"/>
  <c r="A18" i="5"/>
  <c r="A15" i="5"/>
  <c r="A12" i="5"/>
  <c r="A9" i="5"/>
  <c r="A6" i="5"/>
  <c r="A183" i="4"/>
  <c r="A180" i="4"/>
  <c r="A177" i="4"/>
  <c r="A174" i="4"/>
  <c r="A171" i="4"/>
  <c r="A168" i="4"/>
  <c r="A165" i="4"/>
  <c r="A162" i="4"/>
  <c r="A159" i="4"/>
  <c r="A156" i="4"/>
  <c r="A153" i="4"/>
  <c r="A150" i="4"/>
  <c r="A147" i="4"/>
  <c r="A144" i="4"/>
  <c r="A141" i="4"/>
  <c r="A138" i="4"/>
  <c r="A135" i="4"/>
  <c r="A132" i="4"/>
  <c r="A129" i="4"/>
  <c r="A126" i="4"/>
  <c r="A123" i="4"/>
  <c r="A120" i="4"/>
  <c r="A117" i="4"/>
  <c r="A114" i="4"/>
  <c r="A111" i="4"/>
  <c r="A108" i="4"/>
  <c r="A105" i="4"/>
  <c r="A102" i="4"/>
  <c r="A99" i="4"/>
  <c r="A96" i="4"/>
  <c r="A93" i="4"/>
  <c r="A90" i="4"/>
  <c r="A87" i="4"/>
  <c r="A84" i="4"/>
  <c r="A81" i="4"/>
  <c r="A78" i="4"/>
  <c r="A75" i="4"/>
  <c r="A72" i="4"/>
  <c r="A69" i="4"/>
  <c r="A66" i="4"/>
  <c r="A63" i="4"/>
  <c r="A60" i="4"/>
  <c r="A57" i="4"/>
  <c r="A54" i="4"/>
  <c r="A51" i="4"/>
  <c r="A48" i="4"/>
  <c r="A45" i="4"/>
  <c r="A42" i="4"/>
  <c r="A39" i="4"/>
  <c r="A36" i="4"/>
  <c r="A33" i="4"/>
  <c r="A30" i="4"/>
  <c r="A27" i="4"/>
  <c r="A24" i="4"/>
  <c r="A21" i="4"/>
  <c r="A18" i="4"/>
  <c r="A15" i="4"/>
  <c r="A12" i="4"/>
  <c r="A9" i="4"/>
  <c r="A6" i="4"/>
  <c r="A183" i="3"/>
  <c r="A180" i="3"/>
  <c r="A177" i="3"/>
  <c r="A174" i="3"/>
  <c r="A171" i="3"/>
  <c r="A168" i="3"/>
  <c r="A165" i="3"/>
  <c r="A162" i="3"/>
  <c r="A159" i="3"/>
  <c r="A156" i="3"/>
  <c r="A153" i="3"/>
  <c r="A150" i="3"/>
  <c r="A147" i="3"/>
  <c r="A144" i="3"/>
  <c r="A141" i="3"/>
  <c r="A138" i="3"/>
  <c r="A135" i="3"/>
  <c r="A132" i="3"/>
  <c r="A129" i="3"/>
  <c r="A126" i="3"/>
  <c r="A123" i="3"/>
  <c r="A120" i="3"/>
  <c r="A117" i="3"/>
  <c r="A114" i="3"/>
  <c r="A111" i="3"/>
  <c r="A108" i="3"/>
  <c r="A105" i="3"/>
  <c r="A102" i="3"/>
  <c r="A99" i="3"/>
  <c r="A96" i="3"/>
  <c r="A93" i="3"/>
  <c r="A90" i="3"/>
  <c r="A87" i="3"/>
  <c r="A84" i="3"/>
  <c r="A81" i="3"/>
  <c r="A78" i="3"/>
  <c r="A75" i="3"/>
  <c r="A72" i="3"/>
  <c r="A69" i="3"/>
  <c r="A66" i="3"/>
  <c r="A63" i="3"/>
  <c r="A60" i="3"/>
  <c r="A57" i="3"/>
  <c r="A54" i="3"/>
  <c r="A51" i="3"/>
  <c r="A48" i="3"/>
  <c r="A45" i="3"/>
  <c r="A42" i="3"/>
  <c r="A39" i="3"/>
  <c r="A36" i="3"/>
  <c r="A33" i="3"/>
  <c r="A30" i="3"/>
  <c r="A27" i="3"/>
  <c r="A24" i="3"/>
  <c r="A21" i="3"/>
  <c r="A18" i="3"/>
  <c r="A15" i="3"/>
  <c r="A12" i="3"/>
  <c r="A9" i="3"/>
  <c r="A6" i="3"/>
  <c r="A183" i="2"/>
  <c r="A180" i="2"/>
  <c r="A177" i="2"/>
  <c r="A174" i="2"/>
  <c r="A171" i="2"/>
  <c r="A168" i="2"/>
  <c r="A165" i="2"/>
  <c r="A162" i="2"/>
  <c r="A159" i="2"/>
  <c r="A156" i="2"/>
  <c r="A153" i="2"/>
  <c r="A150" i="2"/>
  <c r="A147" i="2"/>
  <c r="A144" i="2"/>
  <c r="A141" i="2"/>
  <c r="A138" i="2"/>
  <c r="A135" i="2"/>
  <c r="A132" i="2"/>
  <c r="A129" i="2"/>
  <c r="A126" i="2"/>
  <c r="A123" i="2"/>
  <c r="A120" i="2"/>
  <c r="A117" i="2"/>
  <c r="A114" i="2"/>
  <c r="A111" i="2"/>
  <c r="A108" i="2"/>
  <c r="A105" i="2"/>
  <c r="A102" i="2"/>
  <c r="A99" i="2"/>
  <c r="A96" i="2"/>
  <c r="A93" i="2"/>
  <c r="A90" i="2"/>
  <c r="A87" i="2"/>
  <c r="A84" i="2"/>
  <c r="A81" i="2"/>
  <c r="A78" i="2"/>
  <c r="A75" i="2"/>
  <c r="A72" i="2"/>
  <c r="A69" i="2"/>
  <c r="A66" i="2"/>
  <c r="A63" i="2"/>
  <c r="A60" i="2"/>
  <c r="A57" i="2"/>
  <c r="A54" i="2"/>
  <c r="A51" i="2"/>
  <c r="A48" i="2"/>
  <c r="A45" i="2"/>
  <c r="A42" i="2"/>
  <c r="A39" i="2"/>
  <c r="A36" i="2"/>
  <c r="A33" i="2"/>
  <c r="A30" i="2"/>
  <c r="A27" i="2"/>
  <c r="A24" i="2"/>
  <c r="A21" i="2"/>
  <c r="A18" i="2"/>
  <c r="A15" i="2"/>
  <c r="A12" i="2"/>
  <c r="A9" i="2"/>
  <c r="A6" i="2"/>
</calcChain>
</file>

<file path=xl/sharedStrings.xml><?xml version="1.0" encoding="utf-8"?>
<sst xmlns="http://schemas.openxmlformats.org/spreadsheetml/2006/main" count="1512" uniqueCount="500">
  <si>
    <t>Amout</t>
    <phoneticPr fontId="1" type="noConversion"/>
  </si>
  <si>
    <t>Date</t>
    <phoneticPr fontId="1" type="noConversion"/>
  </si>
  <si>
    <t>Description</t>
    <phoneticPr fontId="1" type="noConversion"/>
  </si>
  <si>
    <t>Metro60H</t>
    <phoneticPr fontId="1" type="noConversion"/>
  </si>
  <si>
    <t>OP220-2</t>
  </si>
  <si>
    <t>OP220-3</t>
  </si>
  <si>
    <t>Blazer50C</t>
    <phoneticPr fontId="1" type="noConversion"/>
  </si>
  <si>
    <t>Blazer7</t>
    <phoneticPr fontId="1" type="noConversion"/>
  </si>
  <si>
    <t>星期一</t>
    <phoneticPr fontId="1" type="noConversion"/>
  </si>
  <si>
    <t>星期二</t>
    <phoneticPr fontId="1" type="noConversion"/>
  </si>
  <si>
    <t>星期三</t>
    <phoneticPr fontId="1" type="noConversion"/>
  </si>
  <si>
    <t>星期四</t>
    <phoneticPr fontId="1" type="noConversion"/>
  </si>
  <si>
    <t>星期五</t>
    <phoneticPr fontId="1" type="noConversion"/>
  </si>
  <si>
    <t>星期六</t>
    <phoneticPr fontId="1" type="noConversion"/>
  </si>
  <si>
    <t>星期日</t>
    <phoneticPr fontId="1" type="noConversion"/>
  </si>
  <si>
    <t>Metro61H</t>
  </si>
  <si>
    <t>OP220-4</t>
  </si>
  <si>
    <t>Blazer51C</t>
  </si>
  <si>
    <t>OP220-5</t>
  </si>
  <si>
    <t>Blazer8</t>
  </si>
  <si>
    <t>Metro62H</t>
  </si>
  <si>
    <t>OP220-6</t>
  </si>
  <si>
    <t>Blazer52C</t>
  </si>
  <si>
    <t>OP220-7</t>
  </si>
  <si>
    <t>Blazer9</t>
  </si>
  <si>
    <t>Metro63H</t>
  </si>
  <si>
    <t>OP220-8</t>
  </si>
  <si>
    <t>Blazer53C</t>
  </si>
  <si>
    <t>OP220-9</t>
  </si>
  <si>
    <t>Blazer10</t>
  </si>
  <si>
    <t>Metro64H</t>
  </si>
  <si>
    <t>OP220-10</t>
  </si>
  <si>
    <t>Blazer54C</t>
  </si>
  <si>
    <t>OP220-11</t>
  </si>
  <si>
    <t>Blazer11</t>
  </si>
  <si>
    <t>Metro65H</t>
  </si>
  <si>
    <t>OP220-12</t>
  </si>
  <si>
    <t>Blazer55C</t>
  </si>
  <si>
    <t>OP220-13</t>
  </si>
  <si>
    <t>Blazer12</t>
  </si>
  <si>
    <t>Metro66H</t>
  </si>
  <si>
    <t>OP220-14</t>
  </si>
  <si>
    <t>Blazer56C</t>
  </si>
  <si>
    <t>OP220-15</t>
  </si>
  <si>
    <t>Blazer13</t>
  </si>
  <si>
    <t>Metro67H</t>
  </si>
  <si>
    <t>OP220-16</t>
  </si>
  <si>
    <t>Blazer57C</t>
  </si>
  <si>
    <t>OP220-17</t>
  </si>
  <si>
    <t>Blazer14</t>
  </si>
  <si>
    <t>Metro68H</t>
  </si>
  <si>
    <t>OP220-18</t>
  </si>
  <si>
    <t>Blazer58C</t>
  </si>
  <si>
    <t>OP220-19</t>
  </si>
  <si>
    <t>Blazer15</t>
  </si>
  <si>
    <t>Metro69H</t>
  </si>
  <si>
    <t>OP220-20</t>
  </si>
  <si>
    <t>Blazer59C</t>
  </si>
  <si>
    <t>OP220-21</t>
  </si>
  <si>
    <t>Blazer16</t>
  </si>
  <si>
    <t>Metro70H</t>
  </si>
  <si>
    <t>OP220-22</t>
  </si>
  <si>
    <t>Blazer60C</t>
  </si>
  <si>
    <t>OP220-23</t>
  </si>
  <si>
    <t>Blazer17</t>
  </si>
  <si>
    <t>Metro71H</t>
  </si>
  <si>
    <t>OP220-24</t>
  </si>
  <si>
    <t>Blazer61C</t>
  </si>
  <si>
    <t>OP220-25</t>
  </si>
  <si>
    <t>Blazer18</t>
  </si>
  <si>
    <t>Metro72H</t>
  </si>
  <si>
    <t>OP220-26</t>
  </si>
  <si>
    <t>Blazer62C</t>
  </si>
  <si>
    <t>OP220-27</t>
  </si>
  <si>
    <t>Blazer19</t>
  </si>
  <si>
    <t>Metro73H</t>
  </si>
  <si>
    <t>OP220-28</t>
  </si>
  <si>
    <t>Blazer63C</t>
  </si>
  <si>
    <t>OP220-29</t>
  </si>
  <si>
    <t>Blazer20</t>
  </si>
  <si>
    <t>Metro74H</t>
  </si>
  <si>
    <t>OP220-30</t>
  </si>
  <si>
    <t>Blazer64C</t>
  </si>
  <si>
    <t>OP220-31</t>
  </si>
  <si>
    <t>Blazer21</t>
  </si>
  <si>
    <t>Metro75H</t>
  </si>
  <si>
    <t>OP220-32</t>
  </si>
  <si>
    <t>Blazer65C</t>
  </si>
  <si>
    <t>OP220-33</t>
  </si>
  <si>
    <t>Blazer22</t>
  </si>
  <si>
    <t>Metro76H</t>
  </si>
  <si>
    <t>OP220-34</t>
  </si>
  <si>
    <t>Blazer66C</t>
  </si>
  <si>
    <t>OP220-35</t>
  </si>
  <si>
    <t>Blazer23</t>
  </si>
  <si>
    <t>Metro77H</t>
  </si>
  <si>
    <t>OP220-36</t>
  </si>
  <si>
    <t>Blazer67C</t>
  </si>
  <si>
    <t>OP220-37</t>
  </si>
  <si>
    <t>Blazer24</t>
  </si>
  <si>
    <t>Metro78H</t>
  </si>
  <si>
    <t>OP220-38</t>
  </si>
  <si>
    <t>Blazer68C</t>
  </si>
  <si>
    <t>OP220-39</t>
  </si>
  <si>
    <t>Blazer25</t>
  </si>
  <si>
    <t>Metro79H</t>
  </si>
  <si>
    <t>OP220-40</t>
  </si>
  <si>
    <t>Blazer69C</t>
  </si>
  <si>
    <t>OP220-41</t>
  </si>
  <si>
    <t>Blazer26</t>
  </si>
  <si>
    <t>Metro80H</t>
  </si>
  <si>
    <t>OP220-42</t>
  </si>
  <si>
    <t>Blazer70C</t>
  </si>
  <si>
    <t>OP220-43</t>
  </si>
  <si>
    <t>Blazer27</t>
  </si>
  <si>
    <t>Metro81H</t>
  </si>
  <si>
    <t>OP220-44</t>
  </si>
  <si>
    <t>Blazer71C</t>
  </si>
  <si>
    <t>OP220-45</t>
  </si>
  <si>
    <t>Blazer28</t>
  </si>
  <si>
    <t>Metro82H</t>
  </si>
  <si>
    <t>OP220-46</t>
  </si>
  <si>
    <t>Blazer72C</t>
  </si>
  <si>
    <t>OP220-47</t>
  </si>
  <si>
    <t>Blazer29</t>
  </si>
  <si>
    <t>Metro83H</t>
  </si>
  <si>
    <t>OP220-48</t>
  </si>
  <si>
    <t>Blazer73C</t>
  </si>
  <si>
    <t>OP220-49</t>
  </si>
  <si>
    <t>Blazer30</t>
  </si>
  <si>
    <t>Metro84H</t>
  </si>
  <si>
    <t>OP220-50</t>
  </si>
  <si>
    <t>Blazer74C</t>
  </si>
  <si>
    <t>OP220-51</t>
  </si>
  <si>
    <t>Blazer31</t>
  </si>
  <si>
    <t>Metro85H</t>
  </si>
  <si>
    <t>OP220-52</t>
  </si>
  <si>
    <t>Blazer75C</t>
  </si>
  <si>
    <t>OP220-53</t>
  </si>
  <si>
    <t>Blazer32</t>
  </si>
  <si>
    <t>Metro86H</t>
  </si>
  <si>
    <t>OP220-54</t>
  </si>
  <si>
    <t>Blazer76C</t>
  </si>
  <si>
    <t>OP220-55</t>
  </si>
  <si>
    <t>Blazer33</t>
  </si>
  <si>
    <t>Metro87H</t>
  </si>
  <si>
    <t>OP220-56</t>
  </si>
  <si>
    <t>Blazer77C</t>
  </si>
  <si>
    <t>OP220-57</t>
  </si>
  <si>
    <t>Blazer34</t>
  </si>
  <si>
    <t>Metro88H</t>
  </si>
  <si>
    <t>OP220-58</t>
  </si>
  <si>
    <t>Blazer78C</t>
  </si>
  <si>
    <t>OP220-59</t>
  </si>
  <si>
    <t>Blazer35</t>
  </si>
  <si>
    <t>Metro89H</t>
  </si>
  <si>
    <t>OP220-60</t>
  </si>
  <si>
    <t>Blazer79C</t>
  </si>
  <si>
    <t>OP220-61</t>
  </si>
  <si>
    <t>Blazer36</t>
  </si>
  <si>
    <t>Metro90H</t>
  </si>
  <si>
    <t>OP220-62</t>
  </si>
  <si>
    <t>Blazer80C</t>
  </si>
  <si>
    <t>OP220-63</t>
  </si>
  <si>
    <t>Blazer37</t>
  </si>
  <si>
    <t>Metro91H</t>
  </si>
  <si>
    <t>OP220-64</t>
  </si>
  <si>
    <t>Blazer81C</t>
  </si>
  <si>
    <t>OP220-65</t>
  </si>
  <si>
    <t>Blazer38</t>
  </si>
  <si>
    <t>Metro92H</t>
  </si>
  <si>
    <t>OP220-66</t>
  </si>
  <si>
    <t>Blazer82C</t>
  </si>
  <si>
    <t>OP220-67</t>
  </si>
  <si>
    <t>Blazer39</t>
  </si>
  <si>
    <t>Metro93H</t>
  </si>
  <si>
    <t>OP220-68</t>
  </si>
  <si>
    <t>Blazer83C</t>
  </si>
  <si>
    <t>OP220-69</t>
  </si>
  <si>
    <t>Blazer40</t>
  </si>
  <si>
    <t>Metro94H</t>
  </si>
  <si>
    <t>OP220-70</t>
  </si>
  <si>
    <t>Blazer84C</t>
  </si>
  <si>
    <t>OP220-71</t>
  </si>
  <si>
    <t>Blazer41</t>
  </si>
  <si>
    <t>Metro95H</t>
  </si>
  <si>
    <t>OP220-72</t>
  </si>
  <si>
    <t>Blazer85C</t>
  </si>
  <si>
    <t>OP220-73</t>
  </si>
  <si>
    <t>Blazer42</t>
  </si>
  <si>
    <t>Metro96H</t>
  </si>
  <si>
    <t>OP220-74</t>
  </si>
  <si>
    <t>Blazer86C</t>
  </si>
  <si>
    <t>OP220-75</t>
  </si>
  <si>
    <t>Blazer43</t>
  </si>
  <si>
    <t>Metro97H</t>
  </si>
  <si>
    <t>OP220-76</t>
  </si>
  <si>
    <t>Blazer87C</t>
  </si>
  <si>
    <t>OP220-77</t>
  </si>
  <si>
    <t>Blazer44</t>
  </si>
  <si>
    <t>Metro98H</t>
  </si>
  <si>
    <t>OP220-78</t>
  </si>
  <si>
    <t>Blazer88C</t>
  </si>
  <si>
    <t>OP220-79</t>
  </si>
  <si>
    <t>Blazer45</t>
  </si>
  <si>
    <t>Metro99H</t>
  </si>
  <si>
    <t>OP220-80</t>
  </si>
  <si>
    <t>Blazer89C</t>
  </si>
  <si>
    <t>OP220-81</t>
  </si>
  <si>
    <t>Blazer46</t>
  </si>
  <si>
    <t>Metro100H</t>
  </si>
  <si>
    <t>OP220-82</t>
  </si>
  <si>
    <t>Blazer90C</t>
  </si>
  <si>
    <t>OP220-83</t>
  </si>
  <si>
    <t>Blazer47</t>
  </si>
  <si>
    <t>Metro101H</t>
  </si>
  <si>
    <t>OP220-84</t>
  </si>
  <si>
    <t>Blazer91C</t>
  </si>
  <si>
    <t>OP220-85</t>
  </si>
  <si>
    <t>Blazer48</t>
  </si>
  <si>
    <t>Metro102H</t>
  </si>
  <si>
    <t>OP220-86</t>
  </si>
  <si>
    <t>Blazer92C</t>
  </si>
  <si>
    <t>OP220-87</t>
  </si>
  <si>
    <t>Blazer49</t>
  </si>
  <si>
    <t>Metro103H</t>
  </si>
  <si>
    <t>OP220-88</t>
  </si>
  <si>
    <t>Blazer93C</t>
  </si>
  <si>
    <t>OP220-89</t>
  </si>
  <si>
    <t>Blazer50</t>
  </si>
  <si>
    <t>Metro104H</t>
  </si>
  <si>
    <t>OP220-90</t>
  </si>
  <si>
    <t>Blazer94C</t>
  </si>
  <si>
    <t>OP220-91</t>
  </si>
  <si>
    <t>Blazer51</t>
  </si>
  <si>
    <t>Metro105H</t>
  </si>
  <si>
    <t>OP220-92</t>
  </si>
  <si>
    <t>Blazer95C</t>
  </si>
  <si>
    <t>OP220-93</t>
  </si>
  <si>
    <t>Blazer52</t>
  </si>
  <si>
    <t>Metro106H</t>
  </si>
  <si>
    <t>OP220-94</t>
  </si>
  <si>
    <t>Blazer96C</t>
  </si>
  <si>
    <t>OP220-95</t>
  </si>
  <si>
    <t>Blazer53</t>
  </si>
  <si>
    <t>Metro107H</t>
  </si>
  <si>
    <t>OP220-96</t>
  </si>
  <si>
    <t>Blazer97C</t>
  </si>
  <si>
    <t>OP220-97</t>
  </si>
  <si>
    <t>Blazer54</t>
  </si>
  <si>
    <t>Metro108H</t>
  </si>
  <si>
    <t>OP220-98</t>
  </si>
  <si>
    <t>Blazer98C</t>
  </si>
  <si>
    <t>OP220-99</t>
  </si>
  <si>
    <t>Blazer55</t>
  </si>
  <si>
    <t>Metro109H</t>
  </si>
  <si>
    <t>OP220-100</t>
  </si>
  <si>
    <t>Blazer99C</t>
  </si>
  <si>
    <t>OP220-101</t>
  </si>
  <si>
    <t>Blazer56</t>
  </si>
  <si>
    <t>Metro110H</t>
  </si>
  <si>
    <t>OP220-102</t>
  </si>
  <si>
    <t>Blazer100C</t>
  </si>
  <si>
    <t>OP220-103</t>
  </si>
  <si>
    <t>Blazer57</t>
  </si>
  <si>
    <t>Metro111H</t>
  </si>
  <si>
    <t>OP220-104</t>
  </si>
  <si>
    <t>Blazer101C</t>
  </si>
  <si>
    <t>OP220-105</t>
  </si>
  <si>
    <t>Blazer58</t>
  </si>
  <si>
    <t>Metro112H</t>
  </si>
  <si>
    <t>OP220-106</t>
  </si>
  <si>
    <t>Blazer102C</t>
  </si>
  <si>
    <t>OP220-107</t>
  </si>
  <si>
    <t>Blazer59</t>
  </si>
  <si>
    <t>Metro113H</t>
  </si>
  <si>
    <t>OP220-108</t>
  </si>
  <si>
    <t>Blazer103C</t>
  </si>
  <si>
    <t>OP220-109</t>
  </si>
  <si>
    <t>Blazer60</t>
  </si>
  <si>
    <t>Metro114H</t>
  </si>
  <si>
    <t>OP220-110</t>
  </si>
  <si>
    <t>Blazer104C</t>
  </si>
  <si>
    <t>OP220-111</t>
  </si>
  <si>
    <t>Blazer61</t>
  </si>
  <si>
    <t>Metro115H</t>
  </si>
  <si>
    <t>OP220-112</t>
  </si>
  <si>
    <t>Blazer105C</t>
  </si>
  <si>
    <t>OP220-113</t>
  </si>
  <si>
    <t>Blazer62</t>
  </si>
  <si>
    <t>Metro116H</t>
  </si>
  <si>
    <t>OP220-114</t>
  </si>
  <si>
    <t>Blazer106C</t>
  </si>
  <si>
    <t>OP220-115</t>
  </si>
  <si>
    <t>Blazer63</t>
  </si>
  <si>
    <t>Metro117H</t>
  </si>
  <si>
    <t>OP220-116</t>
  </si>
  <si>
    <t>Blazer107C</t>
  </si>
  <si>
    <t>OP220-117</t>
  </si>
  <si>
    <t>Blazer64</t>
  </si>
  <si>
    <t>Metro118H</t>
  </si>
  <si>
    <t>OP220-118</t>
  </si>
  <si>
    <t>Blazer108C</t>
  </si>
  <si>
    <t>OP220-119</t>
  </si>
  <si>
    <t>Blazer65</t>
  </si>
  <si>
    <t>Metro119H</t>
  </si>
  <si>
    <t>OP220-120</t>
  </si>
  <si>
    <t>Blazer109C</t>
  </si>
  <si>
    <t>OP220-121</t>
  </si>
  <si>
    <t>Blazer66</t>
  </si>
  <si>
    <t>简 要</t>
    <phoneticPr fontId="1" type="noConversion"/>
  </si>
  <si>
    <t>OPF</t>
    <phoneticPr fontId="1" type="noConversion"/>
  </si>
  <si>
    <t xml:space="preserve">生产报表 </t>
    <phoneticPr fontId="1" type="noConversion"/>
  </si>
  <si>
    <t>制表人  :</t>
    <phoneticPr fontId="1" type="noConversion"/>
  </si>
  <si>
    <r>
      <t xml:space="preserve">日 期 </t>
    </r>
    <r>
      <rPr>
        <sz val="10"/>
        <color theme="1"/>
        <rFont val="宋体"/>
        <family val="2"/>
        <charset val="134"/>
        <scheme val="minor"/>
      </rPr>
      <t>：</t>
    </r>
    <phoneticPr fontId="1" type="noConversion"/>
  </si>
  <si>
    <t xml:space="preserve">配料报表 </t>
    <phoneticPr fontId="1" type="noConversion"/>
  </si>
  <si>
    <t xml:space="preserve">采购报表 </t>
    <phoneticPr fontId="1" type="noConversion"/>
  </si>
  <si>
    <t xml:space="preserve">成品报表 </t>
    <phoneticPr fontId="1" type="noConversion"/>
  </si>
  <si>
    <t xml:space="preserve">出货报表 </t>
    <phoneticPr fontId="1" type="noConversion"/>
  </si>
  <si>
    <t>9 月 事 务 日 志</t>
    <phoneticPr fontId="1" type="noConversion"/>
  </si>
  <si>
    <t>8 月 事 务 日 志</t>
    <phoneticPr fontId="1" type="noConversion"/>
  </si>
  <si>
    <t>OP212</t>
    <phoneticPr fontId="1" type="noConversion"/>
  </si>
  <si>
    <t>OP213</t>
  </si>
  <si>
    <t>OP214</t>
  </si>
  <si>
    <t>OP215</t>
  </si>
  <si>
    <t>OP216</t>
  </si>
  <si>
    <t>OP218</t>
  </si>
  <si>
    <t>OP219</t>
  </si>
  <si>
    <t>OP220</t>
  </si>
  <si>
    <t>OP221</t>
  </si>
  <si>
    <t>OP222</t>
  </si>
  <si>
    <t>OP223</t>
  </si>
  <si>
    <t>OP224</t>
  </si>
  <si>
    <t>OP225</t>
  </si>
  <si>
    <t>OP226</t>
  </si>
  <si>
    <t>OP227</t>
  </si>
  <si>
    <t>OP228</t>
  </si>
  <si>
    <t>OP229</t>
  </si>
  <si>
    <t>OP230</t>
  </si>
  <si>
    <t>OP231</t>
  </si>
  <si>
    <t>OP232</t>
  </si>
  <si>
    <t>OP233</t>
  </si>
  <si>
    <t>OP234</t>
  </si>
  <si>
    <t>OP235</t>
  </si>
  <si>
    <t>OP236</t>
  </si>
  <si>
    <t>OP237</t>
  </si>
  <si>
    <t>OP238</t>
  </si>
  <si>
    <t>OP239</t>
  </si>
  <si>
    <t>OP240</t>
  </si>
  <si>
    <t>OP241</t>
  </si>
  <si>
    <t>OP242</t>
  </si>
  <si>
    <t>OP243</t>
  </si>
  <si>
    <t>OP244</t>
  </si>
  <si>
    <t>OP245</t>
  </si>
  <si>
    <t>OP246</t>
  </si>
  <si>
    <t>OP247</t>
  </si>
  <si>
    <t>OP248</t>
  </si>
  <si>
    <t>OP249</t>
  </si>
  <si>
    <t>OP250</t>
  </si>
  <si>
    <t>OP251</t>
  </si>
  <si>
    <t>OP252</t>
  </si>
  <si>
    <t>OP253</t>
  </si>
  <si>
    <t>OP254</t>
  </si>
  <si>
    <t>OP255</t>
  </si>
  <si>
    <t>OP256</t>
  </si>
  <si>
    <t>OP257</t>
  </si>
  <si>
    <t>OP258</t>
  </si>
  <si>
    <t>OP259</t>
  </si>
  <si>
    <t>OP260</t>
  </si>
  <si>
    <t>OP261</t>
  </si>
  <si>
    <t>OP262</t>
  </si>
  <si>
    <t>OP263</t>
  </si>
  <si>
    <t>OP264</t>
  </si>
  <si>
    <t>OP265</t>
  </si>
  <si>
    <t>OP266</t>
  </si>
  <si>
    <t>OP267</t>
  </si>
  <si>
    <t>OP268</t>
  </si>
  <si>
    <t>OP269</t>
  </si>
  <si>
    <t>OP270</t>
  </si>
  <si>
    <t>OP271</t>
  </si>
  <si>
    <t>OP272</t>
  </si>
  <si>
    <t>OP273</t>
  </si>
  <si>
    <t>OP274</t>
  </si>
  <si>
    <t>OP275</t>
  </si>
  <si>
    <t>OP276</t>
  </si>
  <si>
    <t>OP277</t>
  </si>
  <si>
    <t>OP278</t>
  </si>
  <si>
    <t>OP279</t>
  </si>
  <si>
    <t>OP280</t>
  </si>
  <si>
    <t>OP281</t>
  </si>
  <si>
    <t>OP282</t>
  </si>
  <si>
    <t>OP283</t>
  </si>
  <si>
    <t>OP284</t>
  </si>
  <si>
    <t>OP285</t>
  </si>
  <si>
    <t>OP286</t>
  </si>
  <si>
    <t>OP287</t>
  </si>
  <si>
    <t>OP288</t>
  </si>
  <si>
    <t>OP289</t>
  </si>
  <si>
    <t>OP290</t>
  </si>
  <si>
    <t>OP291</t>
  </si>
  <si>
    <t>OP292</t>
  </si>
  <si>
    <t>OP293</t>
  </si>
  <si>
    <t>OP294</t>
  </si>
  <si>
    <t>OP295</t>
  </si>
  <si>
    <t>OP296</t>
  </si>
  <si>
    <t>OP297</t>
  </si>
  <si>
    <t>OP298</t>
  </si>
  <si>
    <t>OP299</t>
  </si>
  <si>
    <t>OP300</t>
  </si>
  <si>
    <t>OP301</t>
  </si>
  <si>
    <t>OP302</t>
  </si>
  <si>
    <t>OP303</t>
  </si>
  <si>
    <t>OP304</t>
  </si>
  <si>
    <t>OP305</t>
  </si>
  <si>
    <t>OP306</t>
  </si>
  <si>
    <t>OP307</t>
  </si>
  <si>
    <t>OP308</t>
  </si>
  <si>
    <t>OP309</t>
  </si>
  <si>
    <t>OP310</t>
  </si>
  <si>
    <t>OP311</t>
  </si>
  <si>
    <t>OP312</t>
  </si>
  <si>
    <t>OP313</t>
  </si>
  <si>
    <t>OP314</t>
  </si>
  <si>
    <t>OP315</t>
  </si>
  <si>
    <t>OP316</t>
  </si>
  <si>
    <t>OP317</t>
  </si>
  <si>
    <t>OP318</t>
  </si>
  <si>
    <t>OP319</t>
  </si>
  <si>
    <t>OP320</t>
  </si>
  <si>
    <t>OP321</t>
  </si>
  <si>
    <t>OP322</t>
  </si>
  <si>
    <t>OP323</t>
  </si>
  <si>
    <t>OP324</t>
  </si>
  <si>
    <t>OP325</t>
  </si>
  <si>
    <t>OP326</t>
  </si>
  <si>
    <t>OP327</t>
  </si>
  <si>
    <t>OP328</t>
  </si>
  <si>
    <t>OP329</t>
  </si>
  <si>
    <t>OP330</t>
  </si>
  <si>
    <t>OP331</t>
  </si>
  <si>
    <t>OP332</t>
  </si>
  <si>
    <t>OP333</t>
  </si>
  <si>
    <t>OP334</t>
  </si>
  <si>
    <t>OP335</t>
  </si>
  <si>
    <t>OP336</t>
  </si>
  <si>
    <t>OP337</t>
  </si>
  <si>
    <t>OP338</t>
  </si>
  <si>
    <t>OP339</t>
  </si>
  <si>
    <t>OP340</t>
  </si>
  <si>
    <t>OP341</t>
  </si>
  <si>
    <t>OP342</t>
  </si>
  <si>
    <t>OP343</t>
  </si>
  <si>
    <t>OP344</t>
  </si>
  <si>
    <t>OP345</t>
  </si>
  <si>
    <t>OP346</t>
  </si>
  <si>
    <t>OP347</t>
  </si>
  <si>
    <t>OP348</t>
  </si>
  <si>
    <t>OP349</t>
  </si>
  <si>
    <t>OP350</t>
  </si>
  <si>
    <t>OP351</t>
  </si>
  <si>
    <t>OP352</t>
  </si>
  <si>
    <t>OP353</t>
  </si>
  <si>
    <t>OP354</t>
  </si>
  <si>
    <t>OP355</t>
  </si>
  <si>
    <t>OP356</t>
  </si>
  <si>
    <t>OP357</t>
  </si>
  <si>
    <t>OP358</t>
  </si>
  <si>
    <t>OP359</t>
  </si>
  <si>
    <t>OP360</t>
  </si>
  <si>
    <t>OP361</t>
  </si>
  <si>
    <t>OP362</t>
  </si>
  <si>
    <t>OP363</t>
  </si>
  <si>
    <t>OP364</t>
  </si>
  <si>
    <t>OP365</t>
  </si>
  <si>
    <t>OP366</t>
  </si>
  <si>
    <t>OP367</t>
  </si>
  <si>
    <t>OP368</t>
  </si>
  <si>
    <t>OP369</t>
  </si>
  <si>
    <t>OP370</t>
  </si>
  <si>
    <t>OP371</t>
  </si>
  <si>
    <t>OP372</t>
  </si>
  <si>
    <t>OP373</t>
  </si>
  <si>
    <t>OP374</t>
  </si>
  <si>
    <t>OP375</t>
  </si>
  <si>
    <t>OP376</t>
  </si>
  <si>
    <t>OP377</t>
  </si>
  <si>
    <t>OP378</t>
  </si>
  <si>
    <t>OP379</t>
  </si>
  <si>
    <t>OP380</t>
  </si>
  <si>
    <t>OP381</t>
  </si>
  <si>
    <t>OP382</t>
  </si>
  <si>
    <t>OP383</t>
  </si>
  <si>
    <t>OP384</t>
  </si>
  <si>
    <t>OP385</t>
  </si>
  <si>
    <t>OP386</t>
  </si>
  <si>
    <t>OP387</t>
  </si>
  <si>
    <t>OP388</t>
  </si>
  <si>
    <t>OP389</t>
  </si>
  <si>
    <t>OP390</t>
  </si>
  <si>
    <t>OP391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</si>
</sst>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u/>
      <sz val="11"/>
      <color theme="10"/>
      <name val="宋体"/>
      <family val="2"/>
      <charset val="134"/>
      <scheme val="minor"/>
    </font>
    <font>
      <sz val="18"/>
      <color theme="1"/>
      <name val="宋体"/>
      <family val="3"/>
      <charset val="134"/>
      <scheme val="minor"/>
    </font>
    <font>
      <sz val="16"/>
      <color theme="1"/>
      <name val="微软雅黑"/>
      <family val="2"/>
      <charset val="134"/>
    </font>
    <font>
      <sz val="16"/>
      <color theme="1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10"/>
      <color theme="1"/>
      <name val="宋体"/>
      <family val="2"/>
      <charset val="134"/>
      <scheme val="minor"/>
    </font>
    <font>
      <u/>
      <sz val="10"/>
      <color theme="10"/>
      <name val="宋体"/>
      <family val="2"/>
      <charset val="134"/>
      <scheme val="minor"/>
    </font>
    <font>
      <sz val="9"/>
      <color theme="1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3" fillId="0" borderId="0" xfId="0" applyFont="1" applyFill="1" applyBorder="1" applyAlignment="1">
      <alignment horizontal="right"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58" fontId="2" fillId="6" borderId="1" xfId="0" applyNumberFormat="1" applyFont="1" applyFill="1" applyBorder="1" applyAlignment="1">
      <alignment horizontal="center" vertical="center"/>
    </xf>
    <xf numFmtId="0" fontId="4" fillId="6" borderId="1" xfId="1" applyFill="1" applyBorder="1" applyAlignment="1">
      <alignment horizontal="center" vertical="center"/>
    </xf>
    <xf numFmtId="58" fontId="2" fillId="5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4" fillId="0" borderId="0" xfId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3" borderId="1" xfId="0" applyFont="1" applyFill="1" applyBorder="1" applyAlignment="1">
      <alignment horizontal="right" vertical="center"/>
    </xf>
    <xf numFmtId="0" fontId="3" fillId="0" borderId="3" xfId="0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10" fillId="0" borderId="1" xfId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right" vertical="center"/>
    </xf>
    <xf numFmtId="58" fontId="2" fillId="5" borderId="2" xfId="0" applyNumberFormat="1" applyFont="1" applyFill="1" applyBorder="1" applyAlignment="1">
      <alignment horizontal="center" vertical="center"/>
    </xf>
    <xf numFmtId="0" fontId="4" fillId="0" borderId="1" xfId="1" applyBorder="1" applyAlignment="1">
      <alignment horizontal="center" vertical="center" wrapText="1"/>
    </xf>
    <xf numFmtId="58" fontId="4" fillId="6" borderId="1" xfId="1" applyNumberFormat="1" applyFill="1" applyBorder="1" applyAlignment="1">
      <alignment horizontal="center" vertical="center"/>
    </xf>
    <xf numFmtId="0" fontId="8" fillId="2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6" fillId="7" borderId="0" xfId="0" applyFont="1" applyFill="1" applyAlignment="1">
      <alignment horizontal="center" vertical="center" wrapText="1"/>
    </xf>
    <xf numFmtId="0" fontId="7" fillId="7" borderId="0" xfId="0" applyFont="1" applyFill="1" applyAlignment="1">
      <alignment horizontal="center" vertical="center" wrapText="1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85"/>
  <sheetViews>
    <sheetView topLeftCell="A13" workbookViewId="0">
      <selection activeCell="W12" sqref="W12"/>
    </sheetView>
  </sheetViews>
  <sheetFormatPr defaultRowHeight="16.5" x14ac:dyDescent="0.15"/>
  <cols>
    <col min="1" max="1" width="9.75" style="15" customWidth="1"/>
    <col min="2" max="2" width="12" style="15" customWidth="1"/>
    <col min="3" max="3" width="15.5" style="15" customWidth="1"/>
    <col min="4" max="4" width="13.625" style="15" customWidth="1"/>
    <col min="5" max="5" width="12" style="15" customWidth="1"/>
    <col min="6" max="6" width="0" style="15" hidden="1" customWidth="1"/>
    <col min="7" max="13" width="12.625" style="15" hidden="1" customWidth="1"/>
    <col min="14" max="15" width="9" style="15"/>
    <col min="16" max="16" width="9.625" style="15" bestFit="1" customWidth="1"/>
    <col min="17" max="17" width="9" style="15"/>
    <col min="18" max="18" width="9.625" style="15" bestFit="1" customWidth="1"/>
    <col min="19" max="16384" width="9" style="15"/>
  </cols>
  <sheetData>
    <row r="1" spans="1:22" ht="20.25" customHeight="1" x14ac:dyDescent="0.15">
      <c r="A1" s="27" t="s">
        <v>312</v>
      </c>
      <c r="B1" s="28"/>
      <c r="C1" s="28"/>
      <c r="D1" s="28"/>
    </row>
    <row r="2" spans="1:22" ht="3" customHeight="1" x14ac:dyDescent="0.15"/>
    <row r="3" spans="1:22" s="3" customFormat="1" x14ac:dyDescent="0.15">
      <c r="A3" s="23" t="s">
        <v>313</v>
      </c>
      <c r="B3" s="10"/>
      <c r="C3" s="16" t="s">
        <v>314</v>
      </c>
      <c r="D3" s="10"/>
      <c r="E3" s="1"/>
      <c r="F3" s="2"/>
    </row>
    <row r="4" spans="1:22" ht="3" customHeight="1" x14ac:dyDescent="0.15">
      <c r="A4" s="17"/>
      <c r="B4" s="17"/>
      <c r="C4" s="17"/>
      <c r="D4" s="17"/>
    </row>
    <row r="5" spans="1:22" ht="20.25" customHeight="1" x14ac:dyDescent="0.15">
      <c r="A5" s="18" t="s">
        <v>311</v>
      </c>
      <c r="B5" s="18" t="s">
        <v>2</v>
      </c>
      <c r="C5" s="18" t="s">
        <v>0</v>
      </c>
      <c r="D5" s="18" t="s">
        <v>1</v>
      </c>
      <c r="O5" s="29" t="s">
        <v>320</v>
      </c>
      <c r="P5" s="30"/>
      <c r="Q5" s="30"/>
      <c r="R5" s="30"/>
      <c r="S5" s="30"/>
      <c r="T5" s="30"/>
      <c r="U5" s="30"/>
      <c r="V5"/>
    </row>
    <row r="6" spans="1:22" ht="15" customHeight="1" x14ac:dyDescent="0.15">
      <c r="A6" s="25" t="s">
        <v>321</v>
      </c>
      <c r="B6" s="20" t="s">
        <v>3</v>
      </c>
      <c r="C6" s="21">
        <v>200000</v>
      </c>
      <c r="D6" s="22">
        <v>41848</v>
      </c>
      <c r="O6" s="5" t="s">
        <v>14</v>
      </c>
      <c r="P6" s="5" t="s">
        <v>8</v>
      </c>
      <c r="Q6" s="5" t="s">
        <v>9</v>
      </c>
      <c r="R6" s="5" t="s">
        <v>10</v>
      </c>
      <c r="S6" s="5" t="s">
        <v>11</v>
      </c>
      <c r="T6" s="5" t="s">
        <v>12</v>
      </c>
      <c r="U6" s="5" t="s">
        <v>13</v>
      </c>
      <c r="V6"/>
    </row>
    <row r="7" spans="1:22" x14ac:dyDescent="0.15">
      <c r="A7" s="25" t="s">
        <v>322</v>
      </c>
      <c r="B7" s="20"/>
      <c r="C7" s="21"/>
      <c r="D7" s="22">
        <v>41848</v>
      </c>
      <c r="O7" s="9">
        <v>41847</v>
      </c>
      <c r="P7" s="9">
        <v>41848</v>
      </c>
      <c r="Q7" s="9">
        <v>41849</v>
      </c>
      <c r="R7" s="9">
        <v>41850</v>
      </c>
      <c r="S7" s="9">
        <v>41851</v>
      </c>
      <c r="T7" s="9">
        <v>41852</v>
      </c>
      <c r="U7" s="9">
        <v>41853</v>
      </c>
      <c r="V7"/>
    </row>
    <row r="8" spans="1:22" x14ac:dyDescent="0.15">
      <c r="A8" s="25" t="s">
        <v>323</v>
      </c>
      <c r="B8" s="20"/>
      <c r="C8" s="21"/>
      <c r="D8" s="22">
        <v>41848</v>
      </c>
      <c r="O8" s="8"/>
      <c r="P8" s="6"/>
      <c r="Q8" s="6"/>
      <c r="R8" s="6"/>
      <c r="S8" s="6"/>
      <c r="T8" s="6"/>
      <c r="U8" s="6"/>
      <c r="V8"/>
    </row>
    <row r="9" spans="1:22" x14ac:dyDescent="0.15">
      <c r="A9" s="25" t="s">
        <v>324</v>
      </c>
      <c r="B9" s="20"/>
      <c r="C9" s="21"/>
      <c r="D9" s="22">
        <v>41848</v>
      </c>
      <c r="O9" s="8"/>
      <c r="P9" s="6"/>
      <c r="Q9" s="6"/>
      <c r="R9" s="6"/>
      <c r="S9" s="6"/>
      <c r="T9" s="6"/>
      <c r="U9" s="6"/>
      <c r="V9"/>
    </row>
    <row r="10" spans="1:22" x14ac:dyDescent="0.15">
      <c r="A10" s="25" t="s">
        <v>325</v>
      </c>
      <c r="B10" s="20"/>
      <c r="C10" s="21"/>
      <c r="D10" s="22">
        <v>41848</v>
      </c>
      <c r="O10" s="8"/>
      <c r="P10" s="6"/>
      <c r="Q10" s="6"/>
      <c r="R10" s="6"/>
      <c r="S10" s="6"/>
      <c r="T10" s="6"/>
      <c r="U10" s="6"/>
      <c r="V10"/>
    </row>
    <row r="11" spans="1:22" x14ac:dyDescent="0.15">
      <c r="A11" s="25" t="str">
        <f>HYPERLINK("#生产!R7","OP212")</f>
        <v>OP212</v>
      </c>
      <c r="B11" s="20"/>
      <c r="C11" s="21"/>
      <c r="D11" s="22">
        <v>41848</v>
      </c>
      <c r="O11" s="8"/>
      <c r="P11" s="6"/>
      <c r="Q11" s="6"/>
      <c r="R11" s="6"/>
      <c r="S11" s="6"/>
      <c r="T11" s="6"/>
      <c r="U11" s="6"/>
      <c r="V11"/>
    </row>
    <row r="12" spans="1:22" x14ac:dyDescent="0.15">
      <c r="A12" s="25" t="s">
        <v>326</v>
      </c>
      <c r="B12" s="20"/>
      <c r="C12" s="21"/>
      <c r="D12" s="22">
        <v>41902</v>
      </c>
      <c r="O12" s="9">
        <v>41854</v>
      </c>
      <c r="P12" s="9">
        <v>41855</v>
      </c>
      <c r="Q12" s="9">
        <v>41856</v>
      </c>
      <c r="R12" s="9">
        <v>41857</v>
      </c>
      <c r="S12" s="9">
        <v>41858</v>
      </c>
      <c r="T12" s="9">
        <v>41859</v>
      </c>
      <c r="U12" s="9">
        <v>41860</v>
      </c>
      <c r="V12"/>
    </row>
    <row r="13" spans="1:22" x14ac:dyDescent="0.15">
      <c r="A13" s="25" t="s">
        <v>327</v>
      </c>
      <c r="B13" s="20"/>
      <c r="C13" s="21"/>
      <c r="D13" s="22">
        <v>41902</v>
      </c>
      <c r="O13" s="7"/>
      <c r="P13" s="7"/>
      <c r="Q13" s="7"/>
      <c r="R13" s="26" t="str">
        <f>HYPERLINK("#生产!R7","OP212")</f>
        <v>OP212</v>
      </c>
      <c r="S13" s="26" t="str">
        <f>HYPERLINK("#生产!A7","OP212")</f>
        <v>OP212</v>
      </c>
      <c r="T13" s="26" t="str">
        <f>HYPERLINK("#生产!A8","OP212")</f>
        <v>OP212</v>
      </c>
      <c r="U13" s="26" t="str">
        <f>HYPERLINK("#生产!A9","OP212")</f>
        <v>OP212</v>
      </c>
      <c r="V13"/>
    </row>
    <row r="14" spans="1:22" x14ac:dyDescent="0.15">
      <c r="A14" s="25" t="s">
        <v>328</v>
      </c>
      <c r="B14" s="20"/>
      <c r="C14" s="21"/>
      <c r="D14" s="22">
        <v>41910</v>
      </c>
      <c r="O14" s="7"/>
      <c r="P14" s="7"/>
      <c r="Q14" s="7"/>
      <c r="R14" s="7"/>
      <c r="S14" s="7"/>
      <c r="T14" s="7"/>
      <c r="U14" s="7"/>
      <c r="V14"/>
    </row>
    <row r="15" spans="1:22" x14ac:dyDescent="0.15">
      <c r="A15" s="25" t="s">
        <v>329</v>
      </c>
      <c r="B15" s="20"/>
      <c r="C15" s="21"/>
      <c r="D15" s="22">
        <v>41911</v>
      </c>
      <c r="O15" s="7"/>
      <c r="P15" s="7"/>
      <c r="Q15" s="7"/>
      <c r="R15" s="7"/>
      <c r="S15" s="7"/>
      <c r="T15" s="7"/>
      <c r="U15" s="7"/>
      <c r="V15"/>
    </row>
    <row r="16" spans="1:22" x14ac:dyDescent="0.15">
      <c r="A16" s="25" t="s">
        <v>330</v>
      </c>
      <c r="B16" s="20"/>
      <c r="C16" s="21"/>
      <c r="D16" s="22">
        <v>41912</v>
      </c>
      <c r="O16" s="9">
        <v>41861</v>
      </c>
      <c r="P16" s="9">
        <v>41862</v>
      </c>
      <c r="Q16" s="9">
        <v>41863</v>
      </c>
      <c r="R16" s="9">
        <v>41864</v>
      </c>
      <c r="S16" s="9">
        <v>41865</v>
      </c>
      <c r="T16" s="9">
        <v>41866</v>
      </c>
      <c r="U16" s="9">
        <v>41867</v>
      </c>
      <c r="V16"/>
    </row>
    <row r="17" spans="1:22" x14ac:dyDescent="0.15">
      <c r="A17" s="25" t="s">
        <v>331</v>
      </c>
      <c r="B17" s="20"/>
      <c r="C17" s="21"/>
      <c r="D17" s="22">
        <v>41913</v>
      </c>
      <c r="O17" s="8" t="str">
        <f>HYPERLINK("#生产!A10","OP212")</f>
        <v>OP212</v>
      </c>
      <c r="P17" s="8" t="str">
        <f>HYPERLINK("#生产!A11","OP212")</f>
        <v>OP212</v>
      </c>
      <c r="Q17" s="8" t="str">
        <f>HYPERLINK("#生产!A12","OP212")</f>
        <v>OP212</v>
      </c>
      <c r="R17" s="8" t="str">
        <f>HYPERLINK("#生产!A13","OP212")</f>
        <v>OP212</v>
      </c>
      <c r="S17" s="8" t="str">
        <f>HYPERLINK("#生产!A14","OP212")</f>
        <v>OP212</v>
      </c>
      <c r="T17" s="8" t="str">
        <f>HYPERLINK("#生产!A15","OP212")</f>
        <v>OP212</v>
      </c>
      <c r="U17" s="8" t="str">
        <f>HYPERLINK("#生产!A16","OP212")</f>
        <v>OP212</v>
      </c>
      <c r="V17"/>
    </row>
    <row r="18" spans="1:22" x14ac:dyDescent="0.15">
      <c r="A18" s="25" t="s">
        <v>332</v>
      </c>
      <c r="B18" s="20"/>
      <c r="C18" s="21"/>
      <c r="D18" s="22"/>
      <c r="O18" s="6"/>
      <c r="P18" s="6"/>
      <c r="Q18" s="6"/>
      <c r="R18" s="6"/>
      <c r="S18" s="6"/>
      <c r="T18" s="6"/>
      <c r="U18" s="6"/>
      <c r="V18"/>
    </row>
    <row r="19" spans="1:22" x14ac:dyDescent="0.15">
      <c r="A19" s="25" t="s">
        <v>333</v>
      </c>
      <c r="B19" s="20"/>
      <c r="C19" s="21"/>
      <c r="D19" s="22"/>
      <c r="O19" s="6"/>
      <c r="P19" s="6"/>
      <c r="Q19" s="6"/>
      <c r="R19" s="6"/>
      <c r="S19" s="6"/>
      <c r="T19" s="6"/>
      <c r="U19" s="6"/>
      <c r="V19"/>
    </row>
    <row r="20" spans="1:22" x14ac:dyDescent="0.15">
      <c r="A20" s="25" t="s">
        <v>334</v>
      </c>
      <c r="B20" s="20"/>
      <c r="C20" s="21"/>
      <c r="D20" s="22"/>
      <c r="O20" s="9">
        <v>41868</v>
      </c>
      <c r="P20" s="9">
        <v>41869</v>
      </c>
      <c r="Q20" s="9">
        <v>41870</v>
      </c>
      <c r="R20" s="9">
        <v>41871</v>
      </c>
      <c r="S20" s="9">
        <v>41872</v>
      </c>
      <c r="T20" s="9">
        <v>41873</v>
      </c>
      <c r="U20" s="9">
        <v>41874</v>
      </c>
      <c r="V20"/>
    </row>
    <row r="21" spans="1:22" x14ac:dyDescent="0.15">
      <c r="A21" s="25" t="s">
        <v>335</v>
      </c>
      <c r="B21" s="20"/>
      <c r="C21" s="21"/>
      <c r="D21" s="22"/>
      <c r="O21" s="8" t="str">
        <f>HYPERLINK("#生产!A17","OP212")</f>
        <v>OP212</v>
      </c>
      <c r="P21" s="8" t="str">
        <f>HYPERLINK("#生产!A18","OP212")</f>
        <v>OP212</v>
      </c>
      <c r="Q21" s="8" t="str">
        <f>HYPERLINK("#生产!A19","OP212")</f>
        <v>OP212</v>
      </c>
      <c r="R21" s="8" t="str">
        <f>HYPERLINK("#生产!A20","OP212")</f>
        <v>OP212</v>
      </c>
      <c r="S21" s="8" t="str">
        <f>HYPERLINK("#生产!A21","OP212")</f>
        <v>OP212</v>
      </c>
      <c r="T21" s="8" t="str">
        <f>HYPERLINK("#生产!A22","OP212")</f>
        <v>OP212</v>
      </c>
      <c r="U21" s="8" t="str">
        <f>HYPERLINK("#生产!A23","OP212")</f>
        <v>OP212</v>
      </c>
      <c r="V21"/>
    </row>
    <row r="22" spans="1:22" x14ac:dyDescent="0.15">
      <c r="A22" s="25" t="s">
        <v>336</v>
      </c>
      <c r="B22" s="20"/>
      <c r="C22" s="21"/>
      <c r="D22" s="22"/>
      <c r="O22" s="6"/>
      <c r="P22" s="6"/>
      <c r="Q22" s="6"/>
      <c r="R22" s="6"/>
      <c r="S22" s="6"/>
      <c r="T22" s="6"/>
      <c r="U22" s="6"/>
      <c r="V22"/>
    </row>
    <row r="23" spans="1:22" x14ac:dyDescent="0.15">
      <c r="A23" s="25" t="s">
        <v>337</v>
      </c>
      <c r="B23" s="20"/>
      <c r="C23" s="21"/>
      <c r="D23" s="22"/>
      <c r="O23" s="6"/>
      <c r="P23" s="6"/>
      <c r="Q23" s="6"/>
      <c r="R23" s="6"/>
      <c r="S23" s="6"/>
      <c r="T23" s="6"/>
      <c r="U23" s="6"/>
      <c r="V23"/>
    </row>
    <row r="24" spans="1:22" x14ac:dyDescent="0.15">
      <c r="A24" s="25" t="s">
        <v>338</v>
      </c>
      <c r="B24" s="20"/>
      <c r="C24" s="21"/>
      <c r="D24" s="22"/>
      <c r="O24" s="24">
        <v>41882</v>
      </c>
      <c r="P24" s="24"/>
      <c r="Q24" s="24"/>
      <c r="R24" s="24"/>
      <c r="S24" s="24"/>
      <c r="T24" s="24"/>
      <c r="U24" s="24"/>
      <c r="V24"/>
    </row>
    <row r="25" spans="1:22" x14ac:dyDescent="0.15">
      <c r="A25" s="25" t="s">
        <v>339</v>
      </c>
      <c r="B25" s="20"/>
      <c r="C25" s="21"/>
      <c r="D25" s="22"/>
      <c r="O25" s="8" t="str">
        <f>HYPERLINK("#生产!A24","OP212")</f>
        <v>OP212</v>
      </c>
      <c r="P25" s="6"/>
      <c r="Q25" s="6"/>
      <c r="R25" s="6"/>
      <c r="S25" s="6"/>
      <c r="T25" s="6"/>
      <c r="U25" s="6"/>
      <c r="V25"/>
    </row>
    <row r="26" spans="1:22" x14ac:dyDescent="0.15">
      <c r="A26" s="25" t="s">
        <v>340</v>
      </c>
      <c r="B26" s="20"/>
      <c r="C26" s="21"/>
      <c r="D26" s="22"/>
      <c r="O26" s="6"/>
      <c r="P26" s="6"/>
      <c r="Q26" s="6"/>
      <c r="R26" s="6"/>
      <c r="S26" s="6"/>
      <c r="T26" s="6"/>
      <c r="U26" s="6"/>
      <c r="V26"/>
    </row>
    <row r="27" spans="1:22" x14ac:dyDescent="0.15">
      <c r="A27" s="25" t="s">
        <v>341</v>
      </c>
      <c r="B27" s="20"/>
      <c r="C27" s="21"/>
      <c r="D27" s="22"/>
      <c r="O27" s="6"/>
      <c r="P27" s="6"/>
      <c r="Q27" s="6"/>
      <c r="R27" s="14"/>
      <c r="S27" s="14"/>
      <c r="T27" s="14"/>
      <c r="U27" s="14"/>
      <c r="V27"/>
    </row>
    <row r="28" spans="1:22" ht="20.25" x14ac:dyDescent="0.15">
      <c r="A28" s="25" t="s">
        <v>342</v>
      </c>
      <c r="B28" s="20"/>
      <c r="C28" s="21"/>
      <c r="D28" s="22"/>
      <c r="O28" s="29" t="s">
        <v>319</v>
      </c>
      <c r="P28" s="30"/>
      <c r="Q28" s="30"/>
      <c r="R28" s="30"/>
      <c r="S28" s="30"/>
      <c r="T28" s="30"/>
      <c r="U28" s="30"/>
    </row>
    <row r="29" spans="1:22" x14ac:dyDescent="0.15">
      <c r="A29" s="25" t="s">
        <v>343</v>
      </c>
      <c r="B29" s="20"/>
      <c r="C29" s="21"/>
      <c r="D29" s="22"/>
      <c r="O29" s="5" t="s">
        <v>14</v>
      </c>
      <c r="P29" s="5" t="s">
        <v>8</v>
      </c>
      <c r="Q29" s="5" t="s">
        <v>9</v>
      </c>
      <c r="R29" s="5" t="s">
        <v>10</v>
      </c>
      <c r="S29" s="5" t="s">
        <v>11</v>
      </c>
      <c r="T29" s="5" t="s">
        <v>12</v>
      </c>
      <c r="U29" s="5" t="s">
        <v>13</v>
      </c>
    </row>
    <row r="30" spans="1:22" x14ac:dyDescent="0.15">
      <c r="A30" s="25" t="s">
        <v>344</v>
      </c>
      <c r="B30" s="20"/>
      <c r="C30" s="21"/>
      <c r="D30" s="22"/>
      <c r="O30" s="9"/>
      <c r="P30" s="9">
        <v>41883</v>
      </c>
      <c r="Q30" s="9">
        <v>41884</v>
      </c>
      <c r="R30" s="9">
        <v>41885</v>
      </c>
      <c r="S30" s="9">
        <v>41886</v>
      </c>
      <c r="T30" s="9">
        <v>41887</v>
      </c>
      <c r="U30" s="9">
        <v>41888</v>
      </c>
    </row>
    <row r="31" spans="1:22" x14ac:dyDescent="0.15">
      <c r="A31" s="25" t="s">
        <v>345</v>
      </c>
      <c r="B31" s="20"/>
      <c r="C31" s="21"/>
      <c r="D31" s="22"/>
      <c r="O31" s="6"/>
      <c r="P31" s="8" t="str">
        <f>HYPERLINK("#生产!A25","OP212")</f>
        <v>OP212</v>
      </c>
      <c r="Q31" s="8" t="str">
        <f>HYPERLINK("#生产!A26","OP212")</f>
        <v>OP212</v>
      </c>
      <c r="R31" s="8" t="str">
        <f>HYPERLINK("#生产!A27","OP212")</f>
        <v>OP212</v>
      </c>
      <c r="S31" s="8" t="str">
        <f>HYPERLINK("#生产!A28","OP212")</f>
        <v>OP212</v>
      </c>
      <c r="T31" s="8" t="str">
        <f>HYPERLINK("#生产!A29","OP212")</f>
        <v>OP212</v>
      </c>
      <c r="U31" s="8" t="str">
        <f>HYPERLINK("#生产!A30","OP212")</f>
        <v>OP212</v>
      </c>
    </row>
    <row r="32" spans="1:22" x14ac:dyDescent="0.15">
      <c r="A32" s="25" t="s">
        <v>346</v>
      </c>
      <c r="B32" s="20"/>
      <c r="C32" s="21"/>
      <c r="D32" s="22"/>
      <c r="O32" s="6"/>
      <c r="P32" s="6"/>
      <c r="Q32" s="6"/>
      <c r="R32" s="6"/>
      <c r="S32" s="6"/>
      <c r="T32" s="6"/>
      <c r="U32" s="6"/>
    </row>
    <row r="33" spans="1:21" x14ac:dyDescent="0.15">
      <c r="A33" s="25" t="s">
        <v>347</v>
      </c>
      <c r="B33" s="20"/>
      <c r="C33" s="21"/>
      <c r="D33" s="22"/>
      <c r="O33" s="6"/>
      <c r="P33" s="6"/>
      <c r="Q33" s="6"/>
      <c r="R33" s="6"/>
      <c r="S33" s="6"/>
      <c r="T33" s="6"/>
      <c r="U33" s="6"/>
    </row>
    <row r="34" spans="1:21" x14ac:dyDescent="0.15">
      <c r="A34" s="25" t="s">
        <v>348</v>
      </c>
      <c r="B34" s="20"/>
      <c r="C34" s="21"/>
      <c r="D34" s="22"/>
      <c r="O34" s="9">
        <v>41889</v>
      </c>
      <c r="P34" s="9">
        <v>41890</v>
      </c>
      <c r="Q34" s="9">
        <v>41891</v>
      </c>
      <c r="R34" s="9">
        <v>41892</v>
      </c>
      <c r="S34" s="9">
        <v>41893</v>
      </c>
      <c r="T34" s="9">
        <v>41894</v>
      </c>
      <c r="U34" s="9">
        <v>41895</v>
      </c>
    </row>
    <row r="35" spans="1:21" x14ac:dyDescent="0.15">
      <c r="A35" s="25" t="s">
        <v>349</v>
      </c>
      <c r="B35" s="20"/>
      <c r="C35" s="21"/>
      <c r="D35" s="22"/>
      <c r="O35" s="8" t="str">
        <f>HYPERLINK("#生产!A31","OP212")</f>
        <v>OP212</v>
      </c>
      <c r="P35" s="8" t="str">
        <f>HYPERLINK("#生产!A32","OP212")</f>
        <v>OP212</v>
      </c>
      <c r="Q35" s="8" t="str">
        <f>HYPERLINK("#生产!A33","OP212")</f>
        <v>OP212</v>
      </c>
      <c r="R35" s="8" t="str">
        <f>HYPERLINK("#生产!A34","OP212")</f>
        <v>OP212</v>
      </c>
      <c r="S35" s="8" t="str">
        <f>HYPERLINK("#生产!A35","OP212")</f>
        <v>OP212</v>
      </c>
      <c r="T35" s="8" t="str">
        <f>HYPERLINK("#生产!A36","OP212")</f>
        <v>OP212</v>
      </c>
      <c r="U35" s="8" t="str">
        <f>HYPERLINK("#生产!A37","OP212")</f>
        <v>OP212</v>
      </c>
    </row>
    <row r="36" spans="1:21" x14ac:dyDescent="0.15">
      <c r="A36" s="25" t="s">
        <v>350</v>
      </c>
      <c r="B36" s="20"/>
      <c r="C36" s="21"/>
      <c r="D36" s="22"/>
      <c r="O36" s="6"/>
      <c r="P36" s="6"/>
      <c r="Q36" s="6"/>
      <c r="R36" s="6"/>
      <c r="S36" s="6"/>
      <c r="T36" s="6"/>
      <c r="U36" s="6"/>
    </row>
    <row r="37" spans="1:21" x14ac:dyDescent="0.15">
      <c r="A37" s="25" t="s">
        <v>351</v>
      </c>
      <c r="B37" s="20"/>
      <c r="C37" s="21"/>
      <c r="D37" s="22"/>
      <c r="O37" s="6"/>
      <c r="P37" s="6"/>
      <c r="Q37" s="6"/>
      <c r="R37" s="6"/>
      <c r="S37" s="6"/>
      <c r="T37" s="6"/>
      <c r="U37" s="6"/>
    </row>
    <row r="38" spans="1:21" x14ac:dyDescent="0.15">
      <c r="A38" s="25" t="s">
        <v>352</v>
      </c>
      <c r="B38" s="20"/>
      <c r="C38" s="21"/>
      <c r="D38" s="22"/>
      <c r="O38" s="9">
        <v>41896</v>
      </c>
      <c r="P38" s="9">
        <v>41897</v>
      </c>
      <c r="Q38" s="9">
        <v>41898</v>
      </c>
      <c r="R38" s="9">
        <v>41899</v>
      </c>
      <c r="S38" s="9">
        <v>41900</v>
      </c>
      <c r="T38" s="9">
        <v>41901</v>
      </c>
      <c r="U38" s="9">
        <v>41902</v>
      </c>
    </row>
    <row r="39" spans="1:21" x14ac:dyDescent="0.15">
      <c r="A39" s="25" t="s">
        <v>353</v>
      </c>
      <c r="B39" s="20"/>
      <c r="C39" s="21"/>
      <c r="D39" s="22"/>
      <c r="O39" s="8">
        <f>HYPERLINK("#生产!A38",)</f>
        <v>0</v>
      </c>
      <c r="P39" s="8">
        <f>HYPERLINK("#生产!A39",)</f>
        <v>0</v>
      </c>
      <c r="Q39" s="8">
        <f>HYPERLINK("#生产!A40",)</f>
        <v>0</v>
      </c>
      <c r="R39" s="8">
        <f>HYPERLINK("#生产!A41",)</f>
        <v>0</v>
      </c>
      <c r="S39" s="8">
        <f>HYPERLINK("#生产!A42",)</f>
        <v>0</v>
      </c>
      <c r="T39" s="8">
        <f>HYPERLINK("#生产!A43",)</f>
        <v>0</v>
      </c>
      <c r="U39" s="8">
        <f>HYPERLINK("#生产!A44",)</f>
        <v>0</v>
      </c>
    </row>
    <row r="40" spans="1:21" x14ac:dyDescent="0.15">
      <c r="A40" s="25" t="s">
        <v>354</v>
      </c>
      <c r="B40" s="20"/>
      <c r="C40" s="21"/>
      <c r="D40" s="22"/>
      <c r="O40" s="6"/>
      <c r="P40" s="6"/>
      <c r="Q40" s="6"/>
      <c r="R40" s="6"/>
      <c r="S40" s="6"/>
      <c r="T40" s="6"/>
      <c r="U40" s="6"/>
    </row>
    <row r="41" spans="1:21" x14ac:dyDescent="0.15">
      <c r="A41" s="25" t="s">
        <v>355</v>
      </c>
      <c r="B41" s="20"/>
      <c r="C41" s="21"/>
      <c r="D41" s="22"/>
      <c r="O41" s="6"/>
      <c r="P41" s="6"/>
      <c r="Q41" s="6"/>
      <c r="R41" s="6"/>
      <c r="S41" s="6"/>
      <c r="T41" s="6"/>
      <c r="U41" s="6"/>
    </row>
    <row r="42" spans="1:21" x14ac:dyDescent="0.15">
      <c r="A42" s="25" t="s">
        <v>356</v>
      </c>
      <c r="B42" s="20"/>
      <c r="C42" s="21"/>
      <c r="D42" s="22"/>
      <c r="O42" s="9">
        <v>41903</v>
      </c>
      <c r="P42" s="9">
        <v>41904</v>
      </c>
      <c r="Q42" s="9">
        <v>41905</v>
      </c>
      <c r="R42" s="9">
        <v>41906</v>
      </c>
      <c r="S42" s="9">
        <v>41907</v>
      </c>
      <c r="T42" s="9">
        <v>41908</v>
      </c>
      <c r="U42" s="9">
        <v>41909</v>
      </c>
    </row>
    <row r="43" spans="1:21" x14ac:dyDescent="0.15">
      <c r="A43" s="25" t="s">
        <v>357</v>
      </c>
      <c r="B43" s="20"/>
      <c r="C43" s="21"/>
      <c r="D43" s="22"/>
      <c r="O43" s="8">
        <f>HYPERLINK("#生产!A45",)</f>
        <v>0</v>
      </c>
      <c r="P43" s="8">
        <f>HYPERLINK("#生产!A46",)</f>
        <v>0</v>
      </c>
      <c r="Q43" s="8">
        <f>HYPERLINK("#生产!A47",)</f>
        <v>0</v>
      </c>
      <c r="R43" s="8">
        <f>HYPERLINK("#生产!A48",)</f>
        <v>0</v>
      </c>
      <c r="S43" s="8">
        <f>HYPERLINK("#生产!A49",)</f>
        <v>0</v>
      </c>
      <c r="T43" s="8">
        <f>HYPERLINK("#生产!A50",)</f>
        <v>0</v>
      </c>
      <c r="U43" s="8">
        <f>HYPERLINK("#生产!A51",)</f>
        <v>0</v>
      </c>
    </row>
    <row r="44" spans="1:21" x14ac:dyDescent="0.15">
      <c r="A44" s="25" t="s">
        <v>358</v>
      </c>
      <c r="B44" s="20"/>
      <c r="C44" s="21"/>
      <c r="D44" s="22"/>
      <c r="O44" s="6"/>
      <c r="P44" s="6"/>
      <c r="Q44" s="6"/>
      <c r="R44" s="6"/>
      <c r="S44" s="6"/>
      <c r="T44" s="6"/>
      <c r="U44" s="6"/>
    </row>
    <row r="45" spans="1:21" x14ac:dyDescent="0.15">
      <c r="A45" s="25" t="s">
        <v>359</v>
      </c>
      <c r="B45" s="20"/>
      <c r="C45" s="21"/>
      <c r="D45" s="22"/>
      <c r="O45" s="6"/>
      <c r="P45" s="6"/>
      <c r="Q45" s="6"/>
      <c r="R45" s="6"/>
      <c r="S45" s="6"/>
      <c r="T45" s="6"/>
      <c r="U45" s="6"/>
    </row>
    <row r="46" spans="1:21" x14ac:dyDescent="0.15">
      <c r="A46" s="25" t="s">
        <v>360</v>
      </c>
      <c r="B46" s="20"/>
      <c r="C46" s="21"/>
      <c r="D46" s="22"/>
      <c r="O46" s="9">
        <v>41910</v>
      </c>
      <c r="P46" s="9">
        <v>41911</v>
      </c>
      <c r="Q46" s="9">
        <v>41912</v>
      </c>
      <c r="R46" s="9"/>
      <c r="S46" s="9"/>
      <c r="T46" s="9"/>
      <c r="U46" s="9"/>
    </row>
    <row r="47" spans="1:21" x14ac:dyDescent="0.15">
      <c r="A47" s="25" t="s">
        <v>361</v>
      </c>
      <c r="B47" s="20"/>
      <c r="C47" s="21"/>
      <c r="D47" s="22"/>
      <c r="O47" s="8">
        <f>HYPERLINK("#生产!A52",)</f>
        <v>0</v>
      </c>
      <c r="P47" s="8">
        <f>HYPERLINK("#生产!A53",)</f>
        <v>0</v>
      </c>
      <c r="Q47" s="8">
        <f>HYPERLINK("#生产!A54",)</f>
        <v>0</v>
      </c>
      <c r="R47" s="6"/>
      <c r="S47" s="6"/>
      <c r="T47" s="6"/>
      <c r="U47" s="6"/>
    </row>
    <row r="48" spans="1:21" x14ac:dyDescent="0.15">
      <c r="A48" s="25" t="s">
        <v>362</v>
      </c>
      <c r="B48" s="20"/>
      <c r="C48" s="21"/>
      <c r="D48" s="22"/>
      <c r="O48" s="6"/>
      <c r="P48" s="6"/>
      <c r="Q48" s="6"/>
      <c r="R48" s="6"/>
      <c r="S48" s="6"/>
      <c r="T48" s="6"/>
      <c r="U48" s="6"/>
    </row>
    <row r="49" spans="1:21" x14ac:dyDescent="0.15">
      <c r="A49" s="25" t="s">
        <v>363</v>
      </c>
      <c r="B49" s="20"/>
      <c r="C49" s="21"/>
      <c r="D49" s="22"/>
      <c r="O49" s="6"/>
      <c r="P49" s="6"/>
      <c r="Q49" s="6"/>
      <c r="R49" s="6"/>
      <c r="S49" s="6"/>
      <c r="T49" s="6"/>
      <c r="U49" s="6"/>
    </row>
    <row r="50" spans="1:21" x14ac:dyDescent="0.15">
      <c r="A50" s="25" t="s">
        <v>364</v>
      </c>
      <c r="B50" s="20"/>
      <c r="C50" s="21"/>
      <c r="D50" s="22"/>
    </row>
    <row r="51" spans="1:21" x14ac:dyDescent="0.15">
      <c r="A51" s="25" t="s">
        <v>365</v>
      </c>
      <c r="B51" s="20"/>
      <c r="C51" s="21"/>
      <c r="D51" s="22"/>
    </row>
    <row r="52" spans="1:21" x14ac:dyDescent="0.15">
      <c r="A52" s="25" t="s">
        <v>366</v>
      </c>
      <c r="B52" s="20"/>
      <c r="C52" s="21"/>
      <c r="D52" s="22"/>
    </row>
    <row r="53" spans="1:21" x14ac:dyDescent="0.15">
      <c r="A53" s="25" t="s">
        <v>367</v>
      </c>
      <c r="B53" s="20"/>
      <c r="C53" s="21"/>
      <c r="D53" s="22"/>
    </row>
    <row r="54" spans="1:21" x14ac:dyDescent="0.15">
      <c r="A54" s="25" t="s">
        <v>368</v>
      </c>
      <c r="B54" s="20"/>
      <c r="C54" s="21"/>
      <c r="D54" s="22"/>
    </row>
    <row r="55" spans="1:21" x14ac:dyDescent="0.15">
      <c r="A55" s="25" t="s">
        <v>369</v>
      </c>
      <c r="B55" s="20"/>
      <c r="C55" s="21"/>
      <c r="D55" s="22"/>
    </row>
    <row r="56" spans="1:21" x14ac:dyDescent="0.15">
      <c r="A56" s="25" t="s">
        <v>370</v>
      </c>
      <c r="B56" s="20"/>
      <c r="C56" s="21"/>
      <c r="D56" s="22"/>
    </row>
    <row r="57" spans="1:21" x14ac:dyDescent="0.15">
      <c r="A57" s="25" t="s">
        <v>371</v>
      </c>
      <c r="B57" s="20"/>
      <c r="C57" s="21"/>
      <c r="D57" s="22"/>
    </row>
    <row r="58" spans="1:21" x14ac:dyDescent="0.15">
      <c r="A58" s="25" t="s">
        <v>372</v>
      </c>
      <c r="B58" s="20"/>
      <c r="C58" s="21"/>
      <c r="D58" s="22"/>
    </row>
    <row r="59" spans="1:21" x14ac:dyDescent="0.15">
      <c r="A59" s="25" t="s">
        <v>373</v>
      </c>
      <c r="B59" s="20"/>
      <c r="C59" s="21"/>
      <c r="D59" s="22"/>
    </row>
    <row r="60" spans="1:21" x14ac:dyDescent="0.15">
      <c r="A60" s="25" t="s">
        <v>374</v>
      </c>
      <c r="B60" s="20"/>
      <c r="C60" s="21"/>
      <c r="D60" s="22"/>
    </row>
    <row r="61" spans="1:21" x14ac:dyDescent="0.15">
      <c r="A61" s="25" t="s">
        <v>375</v>
      </c>
      <c r="B61" s="20"/>
      <c r="C61" s="21"/>
      <c r="D61" s="22"/>
    </row>
    <row r="62" spans="1:21" x14ac:dyDescent="0.15">
      <c r="A62" s="25" t="s">
        <v>376</v>
      </c>
      <c r="B62" s="20"/>
      <c r="C62" s="21"/>
      <c r="D62" s="22"/>
    </row>
    <row r="63" spans="1:21" x14ac:dyDescent="0.15">
      <c r="A63" s="25" t="s">
        <v>377</v>
      </c>
      <c r="B63" s="20"/>
      <c r="C63" s="21"/>
      <c r="D63" s="22"/>
    </row>
    <row r="64" spans="1:21" x14ac:dyDescent="0.15">
      <c r="A64" s="25" t="s">
        <v>378</v>
      </c>
      <c r="B64" s="20"/>
      <c r="C64" s="21"/>
      <c r="D64" s="22"/>
    </row>
    <row r="65" spans="1:4" x14ac:dyDescent="0.15">
      <c r="A65" s="25" t="s">
        <v>379</v>
      </c>
      <c r="B65" s="20"/>
      <c r="C65" s="21"/>
      <c r="D65" s="22"/>
    </row>
    <row r="66" spans="1:4" x14ac:dyDescent="0.15">
      <c r="A66" s="25" t="s">
        <v>380</v>
      </c>
      <c r="B66" s="20"/>
      <c r="C66" s="21"/>
      <c r="D66" s="22"/>
    </row>
    <row r="67" spans="1:4" x14ac:dyDescent="0.15">
      <c r="A67" s="25" t="s">
        <v>381</v>
      </c>
      <c r="B67" s="20"/>
      <c r="C67" s="21"/>
      <c r="D67" s="22"/>
    </row>
    <row r="68" spans="1:4" x14ac:dyDescent="0.15">
      <c r="A68" s="25" t="s">
        <v>382</v>
      </c>
      <c r="B68" s="20"/>
      <c r="C68" s="21"/>
      <c r="D68" s="22"/>
    </row>
    <row r="69" spans="1:4" x14ac:dyDescent="0.15">
      <c r="A69" s="25" t="s">
        <v>383</v>
      </c>
      <c r="B69" s="20"/>
      <c r="C69" s="21"/>
      <c r="D69" s="22"/>
    </row>
    <row r="70" spans="1:4" x14ac:dyDescent="0.15">
      <c r="A70" s="25" t="s">
        <v>384</v>
      </c>
      <c r="B70" s="20"/>
      <c r="C70" s="21"/>
      <c r="D70" s="22"/>
    </row>
    <row r="71" spans="1:4" x14ac:dyDescent="0.15">
      <c r="A71" s="25" t="s">
        <v>385</v>
      </c>
      <c r="B71" s="20"/>
      <c r="C71" s="21"/>
      <c r="D71" s="22"/>
    </row>
    <row r="72" spans="1:4" x14ac:dyDescent="0.15">
      <c r="A72" s="25" t="s">
        <v>386</v>
      </c>
      <c r="B72" s="20"/>
      <c r="C72" s="21"/>
      <c r="D72" s="22"/>
    </row>
    <row r="73" spans="1:4" x14ac:dyDescent="0.15">
      <c r="A73" s="25" t="s">
        <v>387</v>
      </c>
      <c r="B73" s="20"/>
      <c r="C73" s="21"/>
      <c r="D73" s="22"/>
    </row>
    <row r="74" spans="1:4" x14ac:dyDescent="0.15">
      <c r="A74" s="25" t="s">
        <v>388</v>
      </c>
      <c r="B74" s="20"/>
      <c r="C74" s="21"/>
      <c r="D74" s="22"/>
    </row>
    <row r="75" spans="1:4" x14ac:dyDescent="0.15">
      <c r="A75" s="25" t="s">
        <v>389</v>
      </c>
      <c r="B75" s="20"/>
      <c r="C75" s="21"/>
      <c r="D75" s="22"/>
    </row>
    <row r="76" spans="1:4" x14ac:dyDescent="0.15">
      <c r="A76" s="25" t="s">
        <v>390</v>
      </c>
      <c r="B76" s="20"/>
      <c r="C76" s="21"/>
      <c r="D76" s="22"/>
    </row>
    <row r="77" spans="1:4" x14ac:dyDescent="0.15">
      <c r="A77" s="25" t="s">
        <v>391</v>
      </c>
      <c r="B77" s="20"/>
      <c r="C77" s="21"/>
      <c r="D77" s="22"/>
    </row>
    <row r="78" spans="1:4" x14ac:dyDescent="0.15">
      <c r="A78" s="25" t="s">
        <v>392</v>
      </c>
      <c r="B78" s="20"/>
      <c r="C78" s="21"/>
      <c r="D78" s="22"/>
    </row>
    <row r="79" spans="1:4" x14ac:dyDescent="0.15">
      <c r="A79" s="25" t="s">
        <v>393</v>
      </c>
      <c r="B79" s="20"/>
      <c r="C79" s="21"/>
      <c r="D79" s="22"/>
    </row>
    <row r="80" spans="1:4" x14ac:dyDescent="0.15">
      <c r="A80" s="25" t="s">
        <v>394</v>
      </c>
      <c r="B80" s="20"/>
      <c r="C80" s="21"/>
      <c r="D80" s="22"/>
    </row>
    <row r="81" spans="1:4" x14ac:dyDescent="0.15">
      <c r="A81" s="25" t="s">
        <v>395</v>
      </c>
      <c r="B81" s="20"/>
      <c r="C81" s="21"/>
      <c r="D81" s="22"/>
    </row>
    <row r="82" spans="1:4" x14ac:dyDescent="0.15">
      <c r="A82" s="25" t="s">
        <v>396</v>
      </c>
      <c r="B82" s="20"/>
      <c r="C82" s="21"/>
      <c r="D82" s="22"/>
    </row>
    <row r="83" spans="1:4" x14ac:dyDescent="0.15">
      <c r="A83" s="25" t="s">
        <v>397</v>
      </c>
      <c r="B83" s="20"/>
      <c r="C83" s="21"/>
      <c r="D83" s="22"/>
    </row>
    <row r="84" spans="1:4" x14ac:dyDescent="0.15">
      <c r="A84" s="25" t="s">
        <v>398</v>
      </c>
      <c r="B84" s="20"/>
      <c r="C84" s="21"/>
      <c r="D84" s="22"/>
    </row>
    <row r="85" spans="1:4" x14ac:dyDescent="0.15">
      <c r="A85" s="25" t="s">
        <v>399</v>
      </c>
      <c r="B85" s="20"/>
      <c r="C85" s="21"/>
      <c r="D85" s="22"/>
    </row>
    <row r="86" spans="1:4" x14ac:dyDescent="0.15">
      <c r="A86" s="25" t="s">
        <v>400</v>
      </c>
      <c r="B86" s="20"/>
      <c r="C86" s="21"/>
      <c r="D86" s="22"/>
    </row>
    <row r="87" spans="1:4" x14ac:dyDescent="0.15">
      <c r="A87" s="25" t="s">
        <v>401</v>
      </c>
      <c r="B87" s="20"/>
      <c r="C87" s="21"/>
      <c r="D87" s="22"/>
    </row>
    <row r="88" spans="1:4" x14ac:dyDescent="0.15">
      <c r="A88" s="25" t="s">
        <v>402</v>
      </c>
      <c r="B88" s="20"/>
      <c r="C88" s="21"/>
      <c r="D88" s="22"/>
    </row>
    <row r="89" spans="1:4" x14ac:dyDescent="0.15">
      <c r="A89" s="25" t="s">
        <v>403</v>
      </c>
      <c r="B89" s="20"/>
      <c r="C89" s="21"/>
      <c r="D89" s="22"/>
    </row>
    <row r="90" spans="1:4" x14ac:dyDescent="0.15">
      <c r="A90" s="25" t="s">
        <v>404</v>
      </c>
      <c r="B90" s="20"/>
      <c r="C90" s="21"/>
      <c r="D90" s="22"/>
    </row>
    <row r="91" spans="1:4" x14ac:dyDescent="0.15">
      <c r="A91" s="25" t="s">
        <v>405</v>
      </c>
      <c r="B91" s="20"/>
      <c r="C91" s="21"/>
      <c r="D91" s="22"/>
    </row>
    <row r="92" spans="1:4" x14ac:dyDescent="0.15">
      <c r="A92" s="25" t="s">
        <v>406</v>
      </c>
      <c r="B92" s="20"/>
      <c r="C92" s="21"/>
      <c r="D92" s="22"/>
    </row>
    <row r="93" spans="1:4" x14ac:dyDescent="0.15">
      <c r="A93" s="25" t="s">
        <v>407</v>
      </c>
      <c r="B93" s="20"/>
      <c r="C93" s="21"/>
      <c r="D93" s="22"/>
    </row>
    <row r="94" spans="1:4" x14ac:dyDescent="0.15">
      <c r="A94" s="25" t="s">
        <v>408</v>
      </c>
      <c r="B94" s="20"/>
      <c r="C94" s="21"/>
      <c r="D94" s="22"/>
    </row>
    <row r="95" spans="1:4" x14ac:dyDescent="0.15">
      <c r="A95" s="25" t="s">
        <v>409</v>
      </c>
      <c r="B95" s="20"/>
      <c r="C95" s="21"/>
      <c r="D95" s="22"/>
    </row>
    <row r="96" spans="1:4" x14ac:dyDescent="0.15">
      <c r="A96" s="25" t="s">
        <v>410</v>
      </c>
      <c r="B96" s="20"/>
      <c r="C96" s="21"/>
      <c r="D96" s="22"/>
    </row>
    <row r="97" spans="1:4" x14ac:dyDescent="0.15">
      <c r="A97" s="25" t="s">
        <v>411</v>
      </c>
      <c r="B97" s="20"/>
      <c r="C97" s="21"/>
      <c r="D97" s="22"/>
    </row>
    <row r="98" spans="1:4" x14ac:dyDescent="0.15">
      <c r="A98" s="25" t="s">
        <v>412</v>
      </c>
      <c r="B98" s="20"/>
      <c r="C98" s="21"/>
      <c r="D98" s="22"/>
    </row>
    <row r="99" spans="1:4" x14ac:dyDescent="0.15">
      <c r="A99" s="25" t="s">
        <v>413</v>
      </c>
      <c r="B99" s="20"/>
      <c r="C99" s="21"/>
      <c r="D99" s="22"/>
    </row>
    <row r="100" spans="1:4" x14ac:dyDescent="0.15">
      <c r="A100" s="25" t="s">
        <v>414</v>
      </c>
      <c r="B100" s="20"/>
      <c r="C100" s="21"/>
      <c r="D100" s="22"/>
    </row>
    <row r="101" spans="1:4" x14ac:dyDescent="0.15">
      <c r="A101" s="25" t="s">
        <v>415</v>
      </c>
      <c r="B101" s="20"/>
      <c r="C101" s="21"/>
      <c r="D101" s="22"/>
    </row>
    <row r="102" spans="1:4" x14ac:dyDescent="0.15">
      <c r="A102" s="25" t="s">
        <v>416</v>
      </c>
      <c r="B102" s="20"/>
      <c r="C102" s="21"/>
      <c r="D102" s="22"/>
    </row>
    <row r="103" spans="1:4" x14ac:dyDescent="0.15">
      <c r="A103" s="25" t="s">
        <v>417</v>
      </c>
      <c r="B103" s="20"/>
      <c r="C103" s="21"/>
      <c r="D103" s="22"/>
    </row>
    <row r="104" spans="1:4" x14ac:dyDescent="0.15">
      <c r="A104" s="25" t="s">
        <v>418</v>
      </c>
      <c r="B104" s="20"/>
      <c r="C104" s="21"/>
      <c r="D104" s="22"/>
    </row>
    <row r="105" spans="1:4" x14ac:dyDescent="0.15">
      <c r="A105" s="25" t="s">
        <v>419</v>
      </c>
      <c r="B105" s="20"/>
      <c r="C105" s="21"/>
      <c r="D105" s="22"/>
    </row>
    <row r="106" spans="1:4" x14ac:dyDescent="0.15">
      <c r="A106" s="25" t="s">
        <v>420</v>
      </c>
      <c r="B106" s="20"/>
      <c r="C106" s="21"/>
      <c r="D106" s="22"/>
    </row>
    <row r="107" spans="1:4" x14ac:dyDescent="0.15">
      <c r="A107" s="25" t="s">
        <v>421</v>
      </c>
      <c r="B107" s="20"/>
      <c r="C107" s="21"/>
      <c r="D107" s="22"/>
    </row>
    <row r="108" spans="1:4" x14ac:dyDescent="0.15">
      <c r="A108" s="25" t="s">
        <v>422</v>
      </c>
      <c r="B108" s="20"/>
      <c r="C108" s="21"/>
      <c r="D108" s="22"/>
    </row>
    <row r="109" spans="1:4" x14ac:dyDescent="0.15">
      <c r="A109" s="25" t="s">
        <v>423</v>
      </c>
      <c r="B109" s="20"/>
      <c r="C109" s="21"/>
      <c r="D109" s="22"/>
    </row>
    <row r="110" spans="1:4" x14ac:dyDescent="0.15">
      <c r="A110" s="25" t="s">
        <v>424</v>
      </c>
      <c r="B110" s="20"/>
      <c r="C110" s="21"/>
      <c r="D110" s="22"/>
    </row>
    <row r="111" spans="1:4" x14ac:dyDescent="0.15">
      <c r="A111" s="25" t="s">
        <v>425</v>
      </c>
      <c r="B111" s="20"/>
      <c r="C111" s="21"/>
      <c r="D111" s="22"/>
    </row>
    <row r="112" spans="1:4" x14ac:dyDescent="0.15">
      <c r="A112" s="25" t="s">
        <v>426</v>
      </c>
      <c r="B112" s="20"/>
      <c r="C112" s="21"/>
      <c r="D112" s="22"/>
    </row>
    <row r="113" spans="1:4" x14ac:dyDescent="0.15">
      <c r="A113" s="25" t="s">
        <v>427</v>
      </c>
      <c r="B113" s="20"/>
      <c r="C113" s="21"/>
      <c r="D113" s="22"/>
    </row>
    <row r="114" spans="1:4" x14ac:dyDescent="0.15">
      <c r="A114" s="25" t="s">
        <v>428</v>
      </c>
      <c r="B114" s="20"/>
      <c r="C114" s="21"/>
      <c r="D114" s="22"/>
    </row>
    <row r="115" spans="1:4" x14ac:dyDescent="0.15">
      <c r="A115" s="25" t="s">
        <v>429</v>
      </c>
      <c r="B115" s="20"/>
      <c r="C115" s="21"/>
      <c r="D115" s="22"/>
    </row>
    <row r="116" spans="1:4" x14ac:dyDescent="0.15">
      <c r="A116" s="25" t="s">
        <v>430</v>
      </c>
      <c r="B116" s="20"/>
      <c r="C116" s="21"/>
      <c r="D116" s="22"/>
    </row>
    <row r="117" spans="1:4" x14ac:dyDescent="0.15">
      <c r="A117" s="25" t="s">
        <v>431</v>
      </c>
      <c r="B117" s="20"/>
      <c r="C117" s="21"/>
      <c r="D117" s="22"/>
    </row>
    <row r="118" spans="1:4" x14ac:dyDescent="0.15">
      <c r="A118" s="25" t="s">
        <v>432</v>
      </c>
      <c r="B118" s="20"/>
      <c r="C118" s="21"/>
      <c r="D118" s="22"/>
    </row>
    <row r="119" spans="1:4" x14ac:dyDescent="0.15">
      <c r="A119" s="25" t="s">
        <v>433</v>
      </c>
      <c r="B119" s="20"/>
      <c r="C119" s="21"/>
      <c r="D119" s="22"/>
    </row>
    <row r="120" spans="1:4" x14ac:dyDescent="0.15">
      <c r="A120" s="25" t="s">
        <v>434</v>
      </c>
      <c r="B120" s="20"/>
      <c r="C120" s="21"/>
      <c r="D120" s="22"/>
    </row>
    <row r="121" spans="1:4" x14ac:dyDescent="0.15">
      <c r="A121" s="25" t="s">
        <v>435</v>
      </c>
      <c r="B121" s="20"/>
      <c r="C121" s="21"/>
      <c r="D121" s="22"/>
    </row>
    <row r="122" spans="1:4" x14ac:dyDescent="0.15">
      <c r="A122" s="25" t="s">
        <v>436</v>
      </c>
      <c r="B122" s="20"/>
      <c r="C122" s="21"/>
      <c r="D122" s="22"/>
    </row>
    <row r="123" spans="1:4" x14ac:dyDescent="0.15">
      <c r="A123" s="25" t="s">
        <v>437</v>
      </c>
      <c r="B123" s="20"/>
      <c r="C123" s="21"/>
      <c r="D123" s="22"/>
    </row>
    <row r="124" spans="1:4" x14ac:dyDescent="0.15">
      <c r="A124" s="25" t="s">
        <v>438</v>
      </c>
      <c r="B124" s="20"/>
      <c r="C124" s="21"/>
      <c r="D124" s="22"/>
    </row>
    <row r="125" spans="1:4" x14ac:dyDescent="0.15">
      <c r="A125" s="25" t="s">
        <v>439</v>
      </c>
      <c r="B125" s="20"/>
      <c r="C125" s="21"/>
      <c r="D125" s="22"/>
    </row>
    <row r="126" spans="1:4" x14ac:dyDescent="0.15">
      <c r="A126" s="25" t="s">
        <v>440</v>
      </c>
      <c r="B126" s="20"/>
      <c r="C126" s="21"/>
      <c r="D126" s="22"/>
    </row>
    <row r="127" spans="1:4" x14ac:dyDescent="0.15">
      <c r="A127" s="25" t="s">
        <v>441</v>
      </c>
      <c r="B127" s="20"/>
      <c r="C127" s="21"/>
      <c r="D127" s="22"/>
    </row>
    <row r="128" spans="1:4" x14ac:dyDescent="0.15">
      <c r="A128" s="25" t="s">
        <v>442</v>
      </c>
      <c r="B128" s="20"/>
      <c r="C128" s="21"/>
      <c r="D128" s="22"/>
    </row>
    <row r="129" spans="1:4" x14ac:dyDescent="0.15">
      <c r="A129" s="25" t="s">
        <v>443</v>
      </c>
      <c r="B129" s="20"/>
      <c r="C129" s="21"/>
      <c r="D129" s="22"/>
    </row>
    <row r="130" spans="1:4" x14ac:dyDescent="0.15">
      <c r="A130" s="25" t="s">
        <v>444</v>
      </c>
      <c r="B130" s="20"/>
      <c r="C130" s="21"/>
      <c r="D130" s="22"/>
    </row>
    <row r="131" spans="1:4" x14ac:dyDescent="0.15">
      <c r="A131" s="25" t="s">
        <v>445</v>
      </c>
      <c r="B131" s="20"/>
      <c r="C131" s="21"/>
      <c r="D131" s="22"/>
    </row>
    <row r="132" spans="1:4" x14ac:dyDescent="0.15">
      <c r="A132" s="25" t="s">
        <v>446</v>
      </c>
      <c r="B132" s="20"/>
      <c r="C132" s="21"/>
      <c r="D132" s="22"/>
    </row>
    <row r="133" spans="1:4" x14ac:dyDescent="0.15">
      <c r="A133" s="25" t="s">
        <v>447</v>
      </c>
      <c r="B133" s="20"/>
      <c r="C133" s="21"/>
      <c r="D133" s="22"/>
    </row>
    <row r="134" spans="1:4" x14ac:dyDescent="0.15">
      <c r="A134" s="25" t="s">
        <v>448</v>
      </c>
      <c r="B134" s="20"/>
      <c r="C134" s="21"/>
      <c r="D134" s="22"/>
    </row>
    <row r="135" spans="1:4" x14ac:dyDescent="0.15">
      <c r="A135" s="25" t="s">
        <v>449</v>
      </c>
      <c r="B135" s="20"/>
      <c r="C135" s="21"/>
      <c r="D135" s="22"/>
    </row>
    <row r="136" spans="1:4" x14ac:dyDescent="0.15">
      <c r="A136" s="25" t="s">
        <v>450</v>
      </c>
      <c r="B136" s="20"/>
      <c r="C136" s="21"/>
      <c r="D136" s="22"/>
    </row>
    <row r="137" spans="1:4" x14ac:dyDescent="0.15">
      <c r="A137" s="25" t="s">
        <v>451</v>
      </c>
      <c r="B137" s="20"/>
      <c r="C137" s="21"/>
      <c r="D137" s="22"/>
    </row>
    <row r="138" spans="1:4" x14ac:dyDescent="0.15">
      <c r="A138" s="25" t="s">
        <v>452</v>
      </c>
      <c r="B138" s="20"/>
      <c r="C138" s="21"/>
      <c r="D138" s="22"/>
    </row>
    <row r="139" spans="1:4" x14ac:dyDescent="0.15">
      <c r="A139" s="25" t="s">
        <v>453</v>
      </c>
      <c r="B139" s="20"/>
      <c r="C139" s="21"/>
      <c r="D139" s="22"/>
    </row>
    <row r="140" spans="1:4" x14ac:dyDescent="0.15">
      <c r="A140" s="25" t="s">
        <v>454</v>
      </c>
      <c r="B140" s="20"/>
      <c r="C140" s="21"/>
      <c r="D140" s="22"/>
    </row>
    <row r="141" spans="1:4" x14ac:dyDescent="0.15">
      <c r="A141" s="25" t="s">
        <v>455</v>
      </c>
      <c r="B141" s="20"/>
      <c r="C141" s="21"/>
      <c r="D141" s="22"/>
    </row>
    <row r="142" spans="1:4" x14ac:dyDescent="0.15">
      <c r="A142" s="25" t="s">
        <v>456</v>
      </c>
      <c r="B142" s="20"/>
      <c r="C142" s="21"/>
      <c r="D142" s="22"/>
    </row>
    <row r="143" spans="1:4" x14ac:dyDescent="0.15">
      <c r="A143" s="25" t="s">
        <v>457</v>
      </c>
      <c r="B143" s="20"/>
      <c r="C143" s="21"/>
      <c r="D143" s="22"/>
    </row>
    <row r="144" spans="1:4" x14ac:dyDescent="0.15">
      <c r="A144" s="25" t="s">
        <v>458</v>
      </c>
      <c r="B144" s="20"/>
      <c r="C144" s="21"/>
      <c r="D144" s="22"/>
    </row>
    <row r="145" spans="1:4" x14ac:dyDescent="0.15">
      <c r="A145" s="25" t="s">
        <v>459</v>
      </c>
      <c r="B145" s="20"/>
      <c r="C145" s="21"/>
      <c r="D145" s="22"/>
    </row>
    <row r="146" spans="1:4" x14ac:dyDescent="0.15">
      <c r="A146" s="25" t="s">
        <v>460</v>
      </c>
      <c r="B146" s="20"/>
      <c r="C146" s="21"/>
      <c r="D146" s="22"/>
    </row>
    <row r="147" spans="1:4" x14ac:dyDescent="0.15">
      <c r="A147" s="25" t="s">
        <v>461</v>
      </c>
      <c r="B147" s="20"/>
      <c r="C147" s="21"/>
      <c r="D147" s="22"/>
    </row>
    <row r="148" spans="1:4" x14ac:dyDescent="0.15">
      <c r="A148" s="25" t="s">
        <v>462</v>
      </c>
      <c r="B148" s="20"/>
      <c r="C148" s="21"/>
      <c r="D148" s="22"/>
    </row>
    <row r="149" spans="1:4" x14ac:dyDescent="0.15">
      <c r="A149" s="25" t="s">
        <v>463</v>
      </c>
      <c r="B149" s="20"/>
      <c r="C149" s="21"/>
      <c r="D149" s="22"/>
    </row>
    <row r="150" spans="1:4" x14ac:dyDescent="0.15">
      <c r="A150" s="25" t="s">
        <v>464</v>
      </c>
      <c r="B150" s="20"/>
      <c r="C150" s="21"/>
      <c r="D150" s="22"/>
    </row>
    <row r="151" spans="1:4" x14ac:dyDescent="0.15">
      <c r="A151" s="25" t="s">
        <v>465</v>
      </c>
      <c r="B151" s="20"/>
      <c r="C151" s="21"/>
      <c r="D151" s="22"/>
    </row>
    <row r="152" spans="1:4" x14ac:dyDescent="0.15">
      <c r="A152" s="25" t="s">
        <v>466</v>
      </c>
      <c r="B152" s="20"/>
      <c r="C152" s="21"/>
      <c r="D152" s="22"/>
    </row>
    <row r="153" spans="1:4" x14ac:dyDescent="0.15">
      <c r="A153" s="25" t="s">
        <v>467</v>
      </c>
      <c r="B153" s="20"/>
      <c r="C153" s="21"/>
      <c r="D153" s="22"/>
    </row>
    <row r="154" spans="1:4" x14ac:dyDescent="0.15">
      <c r="A154" s="25" t="s">
        <v>468</v>
      </c>
      <c r="B154" s="20"/>
      <c r="C154" s="21"/>
      <c r="D154" s="22"/>
    </row>
    <row r="155" spans="1:4" x14ac:dyDescent="0.15">
      <c r="A155" s="25" t="s">
        <v>469</v>
      </c>
      <c r="B155" s="20"/>
      <c r="C155" s="21"/>
      <c r="D155" s="22"/>
    </row>
    <row r="156" spans="1:4" x14ac:dyDescent="0.15">
      <c r="A156" s="25" t="s">
        <v>470</v>
      </c>
      <c r="B156" s="20"/>
      <c r="C156" s="21"/>
      <c r="D156" s="22"/>
    </row>
    <row r="157" spans="1:4" x14ac:dyDescent="0.15">
      <c r="A157" s="25" t="s">
        <v>471</v>
      </c>
      <c r="B157" s="20"/>
      <c r="C157" s="21"/>
      <c r="D157" s="22"/>
    </row>
    <row r="158" spans="1:4" x14ac:dyDescent="0.15">
      <c r="A158" s="25" t="s">
        <v>472</v>
      </c>
      <c r="B158" s="20"/>
      <c r="C158" s="21"/>
      <c r="D158" s="22"/>
    </row>
    <row r="159" spans="1:4" x14ac:dyDescent="0.15">
      <c r="A159" s="25" t="s">
        <v>473</v>
      </c>
      <c r="B159" s="20"/>
      <c r="C159" s="21"/>
      <c r="D159" s="22"/>
    </row>
    <row r="160" spans="1:4" x14ac:dyDescent="0.15">
      <c r="A160" s="25" t="s">
        <v>474</v>
      </c>
      <c r="B160" s="20"/>
      <c r="C160" s="21"/>
      <c r="D160" s="22"/>
    </row>
    <row r="161" spans="1:4" x14ac:dyDescent="0.15">
      <c r="A161" s="25" t="s">
        <v>475</v>
      </c>
      <c r="B161" s="20"/>
      <c r="C161" s="21"/>
      <c r="D161" s="22"/>
    </row>
    <row r="162" spans="1:4" x14ac:dyDescent="0.15">
      <c r="A162" s="25" t="s">
        <v>476</v>
      </c>
      <c r="B162" s="20"/>
      <c r="C162" s="21"/>
      <c r="D162" s="22"/>
    </row>
    <row r="163" spans="1:4" x14ac:dyDescent="0.15">
      <c r="A163" s="25" t="s">
        <v>477</v>
      </c>
      <c r="B163" s="20"/>
      <c r="C163" s="21"/>
      <c r="D163" s="22"/>
    </row>
    <row r="164" spans="1:4" x14ac:dyDescent="0.15">
      <c r="A164" s="25" t="s">
        <v>478</v>
      </c>
      <c r="B164" s="20"/>
      <c r="C164" s="21"/>
      <c r="D164" s="22"/>
    </row>
    <row r="165" spans="1:4" x14ac:dyDescent="0.15">
      <c r="A165" s="25" t="s">
        <v>479</v>
      </c>
      <c r="B165" s="20"/>
      <c r="C165" s="21"/>
      <c r="D165" s="22"/>
    </row>
    <row r="166" spans="1:4" x14ac:dyDescent="0.15">
      <c r="A166" s="25" t="s">
        <v>480</v>
      </c>
      <c r="B166" s="20"/>
      <c r="C166" s="21"/>
      <c r="D166" s="22"/>
    </row>
    <row r="167" spans="1:4" x14ac:dyDescent="0.15">
      <c r="A167" s="25" t="s">
        <v>481</v>
      </c>
      <c r="B167" s="20"/>
      <c r="C167" s="21"/>
      <c r="D167" s="22"/>
    </row>
    <row r="168" spans="1:4" x14ac:dyDescent="0.15">
      <c r="A168" s="25" t="s">
        <v>482</v>
      </c>
      <c r="B168" s="20"/>
      <c r="C168" s="21"/>
      <c r="D168" s="22"/>
    </row>
    <row r="169" spans="1:4" x14ac:dyDescent="0.15">
      <c r="A169" s="25" t="s">
        <v>483</v>
      </c>
      <c r="B169" s="20"/>
      <c r="C169" s="21"/>
      <c r="D169" s="22"/>
    </row>
    <row r="170" spans="1:4" x14ac:dyDescent="0.15">
      <c r="A170" s="25" t="s">
        <v>484</v>
      </c>
      <c r="B170" s="20"/>
      <c r="C170" s="21"/>
      <c r="D170" s="22"/>
    </row>
    <row r="171" spans="1:4" x14ac:dyDescent="0.15">
      <c r="A171" s="25" t="s">
        <v>485</v>
      </c>
      <c r="B171" s="20"/>
      <c r="C171" s="21"/>
      <c r="D171" s="22"/>
    </row>
    <row r="172" spans="1:4" x14ac:dyDescent="0.15">
      <c r="A172" s="25" t="s">
        <v>486</v>
      </c>
      <c r="B172" s="20"/>
      <c r="C172" s="21"/>
      <c r="D172" s="22"/>
    </row>
    <row r="173" spans="1:4" x14ac:dyDescent="0.15">
      <c r="A173" s="25" t="s">
        <v>487</v>
      </c>
      <c r="B173" s="20"/>
      <c r="C173" s="21"/>
      <c r="D173" s="22"/>
    </row>
    <row r="174" spans="1:4" x14ac:dyDescent="0.15">
      <c r="A174" s="25" t="s">
        <v>488</v>
      </c>
      <c r="B174" s="20"/>
      <c r="C174" s="21"/>
      <c r="D174" s="22"/>
    </row>
    <row r="175" spans="1:4" x14ac:dyDescent="0.15">
      <c r="A175" s="25" t="s">
        <v>489</v>
      </c>
      <c r="B175" s="20"/>
      <c r="C175" s="21"/>
      <c r="D175" s="22"/>
    </row>
    <row r="176" spans="1:4" x14ac:dyDescent="0.15">
      <c r="A176" s="25" t="s">
        <v>490</v>
      </c>
      <c r="B176" s="20"/>
      <c r="C176" s="21"/>
      <c r="D176" s="22"/>
    </row>
    <row r="177" spans="1:4" x14ac:dyDescent="0.15">
      <c r="A177" s="25" t="s">
        <v>491</v>
      </c>
      <c r="B177" s="20"/>
      <c r="C177" s="21"/>
      <c r="D177" s="22"/>
    </row>
    <row r="178" spans="1:4" x14ac:dyDescent="0.15">
      <c r="A178" s="25" t="s">
        <v>492</v>
      </c>
      <c r="B178" s="20"/>
      <c r="C178" s="21"/>
      <c r="D178" s="22"/>
    </row>
    <row r="179" spans="1:4" x14ac:dyDescent="0.15">
      <c r="A179" s="25" t="s">
        <v>493</v>
      </c>
      <c r="B179" s="20"/>
      <c r="C179" s="21"/>
      <c r="D179" s="22"/>
    </row>
    <row r="180" spans="1:4" x14ac:dyDescent="0.15">
      <c r="A180" s="25" t="s">
        <v>494</v>
      </c>
      <c r="B180" s="20"/>
      <c r="C180" s="21"/>
      <c r="D180" s="22"/>
    </row>
    <row r="181" spans="1:4" x14ac:dyDescent="0.15">
      <c r="A181" s="25" t="s">
        <v>495</v>
      </c>
      <c r="B181" s="20"/>
      <c r="C181" s="21"/>
      <c r="D181" s="22"/>
    </row>
    <row r="182" spans="1:4" x14ac:dyDescent="0.15">
      <c r="A182" s="25" t="s">
        <v>496</v>
      </c>
      <c r="B182" s="20"/>
      <c r="C182" s="21"/>
      <c r="D182" s="22"/>
    </row>
    <row r="183" spans="1:4" x14ac:dyDescent="0.15">
      <c r="A183" s="25" t="s">
        <v>497</v>
      </c>
      <c r="B183" s="20"/>
      <c r="C183" s="21"/>
      <c r="D183" s="22"/>
    </row>
    <row r="184" spans="1:4" x14ac:dyDescent="0.15">
      <c r="A184" s="25" t="s">
        <v>498</v>
      </c>
      <c r="B184" s="20"/>
      <c r="C184" s="21"/>
      <c r="D184" s="22"/>
    </row>
    <row r="185" spans="1:4" x14ac:dyDescent="0.15">
      <c r="A185" s="25" t="s">
        <v>499</v>
      </c>
      <c r="B185" s="20"/>
      <c r="C185" s="21"/>
      <c r="D185" s="22"/>
    </row>
  </sheetData>
  <sheetProtection selectLockedCells="1"/>
  <mergeCells count="3">
    <mergeCell ref="A1:D1"/>
    <mergeCell ref="O5:U5"/>
    <mergeCell ref="O28:U28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85"/>
  <sheetViews>
    <sheetView topLeftCell="A10" workbookViewId="0">
      <selection activeCell="E36" sqref="E36"/>
    </sheetView>
  </sheetViews>
  <sheetFormatPr defaultRowHeight="16.5" x14ac:dyDescent="0.15"/>
  <cols>
    <col min="1" max="1" width="9.75" style="15" customWidth="1"/>
    <col min="2" max="2" width="12" style="15" customWidth="1"/>
    <col min="3" max="3" width="15.5" style="15" customWidth="1"/>
    <col min="4" max="4" width="13.625" style="15" customWidth="1"/>
    <col min="5" max="5" width="12" style="15" customWidth="1"/>
    <col min="6" max="6" width="0" style="15" hidden="1" customWidth="1"/>
    <col min="7" max="13" width="12.625" style="15" hidden="1" customWidth="1"/>
    <col min="14" max="17" width="9" style="15"/>
    <col min="18" max="18" width="9.625" style="15" bestFit="1" customWidth="1"/>
    <col min="19" max="16384" width="9" style="15"/>
  </cols>
  <sheetData>
    <row r="1" spans="1:21" ht="20.25" customHeight="1" x14ac:dyDescent="0.15">
      <c r="A1" s="27" t="s">
        <v>315</v>
      </c>
      <c r="B1" s="28"/>
      <c r="C1" s="28"/>
      <c r="D1" s="28"/>
    </row>
    <row r="2" spans="1:21" ht="3" customHeight="1" x14ac:dyDescent="0.15"/>
    <row r="3" spans="1:21" s="3" customFormat="1" x14ac:dyDescent="0.15">
      <c r="A3" s="23" t="s">
        <v>313</v>
      </c>
      <c r="B3" s="10"/>
      <c r="C3" s="16" t="s">
        <v>314</v>
      </c>
      <c r="D3" s="10"/>
      <c r="E3" s="1"/>
      <c r="F3" s="2"/>
    </row>
    <row r="4" spans="1:21" ht="3" customHeight="1" x14ac:dyDescent="0.15">
      <c r="A4" s="17"/>
      <c r="B4" s="17"/>
      <c r="C4" s="17"/>
      <c r="D4" s="17"/>
    </row>
    <row r="5" spans="1:21" ht="20.25" customHeight="1" x14ac:dyDescent="0.15">
      <c r="A5" s="18" t="s">
        <v>311</v>
      </c>
      <c r="B5" s="18" t="s">
        <v>2</v>
      </c>
      <c r="C5" s="18" t="s">
        <v>0</v>
      </c>
      <c r="D5" s="18" t="s">
        <v>1</v>
      </c>
      <c r="O5" s="29" t="s">
        <v>320</v>
      </c>
      <c r="P5" s="30"/>
      <c r="Q5" s="30"/>
      <c r="R5" s="30"/>
      <c r="S5" s="30"/>
      <c r="T5" s="30"/>
      <c r="U5" s="30"/>
    </row>
    <row r="6" spans="1:21" ht="15" customHeight="1" x14ac:dyDescent="0.15">
      <c r="A6" s="19" t="str">
        <f>HYPERLINK("#DATE!A1","OP220-1")</f>
        <v>OP220-1</v>
      </c>
      <c r="B6" s="20" t="s">
        <v>3</v>
      </c>
      <c r="C6" s="21">
        <v>200000</v>
      </c>
      <c r="D6" s="22">
        <v>41902</v>
      </c>
      <c r="O6" s="5" t="s">
        <v>14</v>
      </c>
      <c r="P6" s="5" t="s">
        <v>8</v>
      </c>
      <c r="Q6" s="5" t="s">
        <v>9</v>
      </c>
      <c r="R6" s="5" t="s">
        <v>10</v>
      </c>
      <c r="S6" s="5" t="s">
        <v>11</v>
      </c>
      <c r="T6" s="5" t="s">
        <v>12</v>
      </c>
      <c r="U6" s="5" t="s">
        <v>13</v>
      </c>
    </row>
    <row r="7" spans="1:21" x14ac:dyDescent="0.15">
      <c r="A7" s="20" t="s">
        <v>4</v>
      </c>
      <c r="B7" s="20" t="s">
        <v>6</v>
      </c>
      <c r="C7" s="21">
        <v>200001</v>
      </c>
      <c r="D7" s="22">
        <v>41903</v>
      </c>
      <c r="O7" s="9">
        <v>41847</v>
      </c>
      <c r="P7" s="9">
        <v>41848</v>
      </c>
      <c r="Q7" s="9">
        <v>41849</v>
      </c>
      <c r="R7" s="9">
        <v>41850</v>
      </c>
      <c r="S7" s="9">
        <v>41851</v>
      </c>
      <c r="T7" s="9">
        <v>41852</v>
      </c>
      <c r="U7" s="9">
        <v>41853</v>
      </c>
    </row>
    <row r="8" spans="1:21" x14ac:dyDescent="0.15">
      <c r="A8" s="20" t="s">
        <v>5</v>
      </c>
      <c r="B8" s="20" t="s">
        <v>7</v>
      </c>
      <c r="C8" s="21">
        <v>200002</v>
      </c>
      <c r="D8" s="22">
        <v>41904</v>
      </c>
      <c r="O8" s="8"/>
      <c r="P8" s="6"/>
      <c r="Q8" s="6"/>
      <c r="R8" s="6"/>
      <c r="S8" s="6"/>
      <c r="T8" s="6"/>
      <c r="U8" s="6"/>
    </row>
    <row r="9" spans="1:21" ht="20.25" customHeight="1" x14ac:dyDescent="0.15">
      <c r="A9" s="19" t="str">
        <f t="shared" ref="A9" si="0">HYPERLINK("#DATE!A1","OP220-1")</f>
        <v>OP220-1</v>
      </c>
      <c r="B9" s="20" t="s">
        <v>15</v>
      </c>
      <c r="C9" s="21">
        <v>200003</v>
      </c>
      <c r="D9" s="22">
        <v>41905</v>
      </c>
      <c r="O9" s="8"/>
      <c r="P9" s="6"/>
      <c r="Q9" s="6"/>
      <c r="R9" s="6"/>
      <c r="S9" s="6"/>
      <c r="T9" s="6"/>
      <c r="U9" s="6"/>
    </row>
    <row r="10" spans="1:21" x14ac:dyDescent="0.15">
      <c r="A10" s="20" t="s">
        <v>16</v>
      </c>
      <c r="B10" s="20" t="s">
        <v>17</v>
      </c>
      <c r="C10" s="21">
        <v>200004</v>
      </c>
      <c r="D10" s="22">
        <v>41906</v>
      </c>
      <c r="O10" s="8"/>
      <c r="P10" s="6"/>
      <c r="Q10" s="6"/>
      <c r="R10" s="6"/>
      <c r="S10" s="6"/>
      <c r="T10" s="6"/>
      <c r="U10" s="6"/>
    </row>
    <row r="11" spans="1:21" x14ac:dyDescent="0.15">
      <c r="A11" s="20" t="s">
        <v>18</v>
      </c>
      <c r="B11" s="20" t="s">
        <v>19</v>
      </c>
      <c r="C11" s="21">
        <v>200005</v>
      </c>
      <c r="D11" s="22">
        <v>41907</v>
      </c>
      <c r="O11" s="8"/>
      <c r="P11" s="6"/>
      <c r="Q11" s="6"/>
      <c r="R11" s="6"/>
      <c r="S11" s="6"/>
      <c r="T11" s="6"/>
      <c r="U11" s="6"/>
    </row>
    <row r="12" spans="1:21" x14ac:dyDescent="0.15">
      <c r="A12" s="19" t="str">
        <f t="shared" ref="A12" si="1">HYPERLINK("#DATE!A1","OP220-1")</f>
        <v>OP220-1</v>
      </c>
      <c r="B12" s="20" t="s">
        <v>20</v>
      </c>
      <c r="C12" s="21">
        <v>200006</v>
      </c>
      <c r="D12" s="22">
        <v>41908</v>
      </c>
      <c r="O12" s="9">
        <v>41854</v>
      </c>
      <c r="P12" s="9">
        <v>41855</v>
      </c>
      <c r="Q12" s="9">
        <v>41856</v>
      </c>
      <c r="R12" s="9">
        <v>41857</v>
      </c>
      <c r="S12" s="9">
        <v>41858</v>
      </c>
      <c r="T12" s="9">
        <v>41859</v>
      </c>
      <c r="U12" s="9">
        <v>41860</v>
      </c>
    </row>
    <row r="13" spans="1:21" x14ac:dyDescent="0.15">
      <c r="A13" s="20" t="s">
        <v>21</v>
      </c>
      <c r="B13" s="20" t="s">
        <v>22</v>
      </c>
      <c r="C13" s="21">
        <v>200007</v>
      </c>
      <c r="D13" s="22">
        <v>41909</v>
      </c>
      <c r="O13" s="7"/>
      <c r="P13" s="7"/>
      <c r="Q13" s="7"/>
      <c r="R13" s="26" t="str">
        <f>HYPERLINK("#配料!A6","OP212")</f>
        <v>OP212</v>
      </c>
      <c r="S13" s="26" t="str">
        <f>HYPERLINK("#配料!A7","OP212")</f>
        <v>OP212</v>
      </c>
      <c r="T13" s="26" t="str">
        <f>HYPERLINK("#配料!A8","OP212")</f>
        <v>OP212</v>
      </c>
      <c r="U13" s="26" t="str">
        <f>HYPERLINK("#配料!A9","OP212")</f>
        <v>OP212</v>
      </c>
    </row>
    <row r="14" spans="1:21" x14ac:dyDescent="0.15">
      <c r="A14" s="20" t="s">
        <v>23</v>
      </c>
      <c r="B14" s="20" t="s">
        <v>24</v>
      </c>
      <c r="C14" s="21">
        <v>200008</v>
      </c>
      <c r="D14" s="22">
        <v>41910</v>
      </c>
      <c r="O14" s="7"/>
      <c r="P14" s="7"/>
      <c r="Q14" s="7"/>
      <c r="R14" s="7"/>
      <c r="S14" s="7"/>
      <c r="T14" s="7"/>
      <c r="U14" s="7"/>
    </row>
    <row r="15" spans="1:21" x14ac:dyDescent="0.15">
      <c r="A15" s="19" t="str">
        <f t="shared" ref="A15" si="2">HYPERLINK("#DATE!A1","OP220-1")</f>
        <v>OP220-1</v>
      </c>
      <c r="B15" s="20" t="s">
        <v>25</v>
      </c>
      <c r="C15" s="21">
        <v>200009</v>
      </c>
      <c r="D15" s="22">
        <v>41911</v>
      </c>
      <c r="O15" s="7"/>
      <c r="P15" s="7"/>
      <c r="Q15" s="7"/>
      <c r="R15" s="7"/>
      <c r="S15" s="7"/>
      <c r="T15" s="7"/>
      <c r="U15" s="7"/>
    </row>
    <row r="16" spans="1:21" x14ac:dyDescent="0.15">
      <c r="A16" s="20" t="s">
        <v>26</v>
      </c>
      <c r="B16" s="20" t="s">
        <v>27</v>
      </c>
      <c r="C16" s="21">
        <v>200010</v>
      </c>
      <c r="D16" s="22">
        <v>41912</v>
      </c>
      <c r="O16" s="9">
        <v>41861</v>
      </c>
      <c r="P16" s="9">
        <v>41862</v>
      </c>
      <c r="Q16" s="9">
        <v>41863</v>
      </c>
      <c r="R16" s="9">
        <v>41864</v>
      </c>
      <c r="S16" s="9">
        <v>41865</v>
      </c>
      <c r="T16" s="9">
        <v>41866</v>
      </c>
      <c r="U16" s="9">
        <v>41867</v>
      </c>
    </row>
    <row r="17" spans="1:21" x14ac:dyDescent="0.15">
      <c r="A17" s="20" t="s">
        <v>28</v>
      </c>
      <c r="B17" s="20" t="s">
        <v>29</v>
      </c>
      <c r="C17" s="21">
        <v>200011</v>
      </c>
      <c r="D17" s="22">
        <v>41913</v>
      </c>
      <c r="O17" s="8" t="str">
        <f>HYPERLINK("#配料!A10","OP212")</f>
        <v>OP212</v>
      </c>
      <c r="P17" s="8" t="str">
        <f>HYPERLINK("#配料!A11","OP212")</f>
        <v>OP212</v>
      </c>
      <c r="Q17" s="8" t="str">
        <f>HYPERLINK("#配料!A12","OP212")</f>
        <v>OP212</v>
      </c>
      <c r="R17" s="8" t="str">
        <f>HYPERLINK("#配料!A13","OP212")</f>
        <v>OP212</v>
      </c>
      <c r="S17" s="8" t="str">
        <f>HYPERLINK("#配料!A14","OP212")</f>
        <v>OP212</v>
      </c>
      <c r="T17" s="8" t="str">
        <f>HYPERLINK("#配料!A15","OP212")</f>
        <v>OP212</v>
      </c>
      <c r="U17" s="8" t="str">
        <f>HYPERLINK("#配料!A16","OP212")</f>
        <v>OP212</v>
      </c>
    </row>
    <row r="18" spans="1:21" x14ac:dyDescent="0.15">
      <c r="A18" s="19" t="str">
        <f t="shared" ref="A18" si="3">HYPERLINK("#DATE!A1","OP220-1")</f>
        <v>OP220-1</v>
      </c>
      <c r="B18" s="20" t="s">
        <v>30</v>
      </c>
      <c r="C18" s="21">
        <v>200012</v>
      </c>
      <c r="D18" s="22">
        <v>41914</v>
      </c>
      <c r="O18" s="6"/>
      <c r="P18" s="6"/>
      <c r="Q18" s="6"/>
      <c r="R18" s="6"/>
      <c r="S18" s="6"/>
      <c r="T18" s="6"/>
      <c r="U18" s="6"/>
    </row>
    <row r="19" spans="1:21" x14ac:dyDescent="0.15">
      <c r="A19" s="20" t="s">
        <v>31</v>
      </c>
      <c r="B19" s="20" t="s">
        <v>32</v>
      </c>
      <c r="C19" s="21">
        <v>200013</v>
      </c>
      <c r="D19" s="22">
        <v>41915</v>
      </c>
      <c r="O19" s="6"/>
      <c r="P19" s="6"/>
      <c r="Q19" s="6"/>
      <c r="R19" s="6"/>
      <c r="S19" s="6"/>
      <c r="T19" s="6"/>
      <c r="U19" s="6"/>
    </row>
    <row r="20" spans="1:21" x14ac:dyDescent="0.15">
      <c r="A20" s="20" t="s">
        <v>33</v>
      </c>
      <c r="B20" s="20" t="s">
        <v>34</v>
      </c>
      <c r="C20" s="21">
        <v>200014</v>
      </c>
      <c r="D20" s="22">
        <v>41916</v>
      </c>
      <c r="O20" s="9">
        <v>41868</v>
      </c>
      <c r="P20" s="9">
        <v>41869</v>
      </c>
      <c r="Q20" s="9">
        <v>41870</v>
      </c>
      <c r="R20" s="9">
        <v>41871</v>
      </c>
      <c r="S20" s="9">
        <v>41872</v>
      </c>
      <c r="T20" s="9">
        <v>41873</v>
      </c>
      <c r="U20" s="9">
        <v>41874</v>
      </c>
    </row>
    <row r="21" spans="1:21" x14ac:dyDescent="0.15">
      <c r="A21" s="19" t="str">
        <f t="shared" ref="A21" si="4">HYPERLINK("#DATE!A1","OP220-1")</f>
        <v>OP220-1</v>
      </c>
      <c r="B21" s="20" t="s">
        <v>35</v>
      </c>
      <c r="C21" s="21">
        <v>200015</v>
      </c>
      <c r="D21" s="22">
        <v>41917</v>
      </c>
      <c r="O21" s="8" t="str">
        <f>HYPERLINK("#配料!A17","OP212")</f>
        <v>OP212</v>
      </c>
      <c r="P21" s="8" t="str">
        <f>HYPERLINK("#配料!A18","OP212")</f>
        <v>OP212</v>
      </c>
      <c r="Q21" s="8" t="str">
        <f>HYPERLINK("#配料!A19","OP212")</f>
        <v>OP212</v>
      </c>
      <c r="R21" s="8" t="str">
        <f>HYPERLINK("#配料!A20","OP212")</f>
        <v>OP212</v>
      </c>
      <c r="S21" s="8" t="str">
        <f>HYPERLINK("#配料!A21","OP212")</f>
        <v>OP212</v>
      </c>
      <c r="T21" s="8" t="str">
        <f>HYPERLINK("#配料!A22","OP212")</f>
        <v>OP212</v>
      </c>
      <c r="U21" s="8" t="str">
        <f>HYPERLINK("#配料!A23","OP212")</f>
        <v>OP212</v>
      </c>
    </row>
    <row r="22" spans="1:21" x14ac:dyDescent="0.15">
      <c r="A22" s="20" t="s">
        <v>36</v>
      </c>
      <c r="B22" s="20" t="s">
        <v>37</v>
      </c>
      <c r="C22" s="21">
        <v>200016</v>
      </c>
      <c r="D22" s="22">
        <v>41918</v>
      </c>
      <c r="O22" s="6"/>
      <c r="P22" s="6"/>
      <c r="Q22" s="6"/>
      <c r="R22" s="6"/>
      <c r="S22" s="6"/>
      <c r="T22" s="6"/>
      <c r="U22" s="6"/>
    </row>
    <row r="23" spans="1:21" x14ac:dyDescent="0.15">
      <c r="A23" s="20" t="s">
        <v>38</v>
      </c>
      <c r="B23" s="20" t="s">
        <v>39</v>
      </c>
      <c r="C23" s="21">
        <v>200017</v>
      </c>
      <c r="D23" s="22">
        <v>41919</v>
      </c>
      <c r="O23" s="6"/>
      <c r="P23" s="6"/>
      <c r="Q23" s="6"/>
      <c r="R23" s="6"/>
      <c r="S23" s="6"/>
      <c r="T23" s="6"/>
      <c r="U23" s="6"/>
    </row>
    <row r="24" spans="1:21" x14ac:dyDescent="0.15">
      <c r="A24" s="19" t="str">
        <f t="shared" ref="A24" si="5">HYPERLINK("#DATE!A1","OP220-1")</f>
        <v>OP220-1</v>
      </c>
      <c r="B24" s="20" t="s">
        <v>40</v>
      </c>
      <c r="C24" s="21">
        <v>200018</v>
      </c>
      <c r="D24" s="22">
        <v>41920</v>
      </c>
      <c r="O24" s="24">
        <v>41882</v>
      </c>
      <c r="P24" s="24"/>
      <c r="Q24" s="24"/>
      <c r="R24" s="24"/>
      <c r="S24" s="24"/>
      <c r="T24" s="24"/>
      <c r="U24" s="24"/>
    </row>
    <row r="25" spans="1:21" x14ac:dyDescent="0.15">
      <c r="A25" s="20" t="s">
        <v>41</v>
      </c>
      <c r="B25" s="20" t="s">
        <v>42</v>
      </c>
      <c r="C25" s="21">
        <v>200019</v>
      </c>
      <c r="D25" s="22">
        <v>41921</v>
      </c>
      <c r="O25" s="8" t="str">
        <f>HYPERLINK("#配料!A24","OP212")</f>
        <v>OP212</v>
      </c>
      <c r="P25" s="6"/>
      <c r="Q25" s="6"/>
      <c r="R25" s="6"/>
      <c r="S25" s="6"/>
      <c r="T25" s="6"/>
      <c r="U25" s="6"/>
    </row>
    <row r="26" spans="1:21" x14ac:dyDescent="0.15">
      <c r="A26" s="20" t="s">
        <v>43</v>
      </c>
      <c r="B26" s="20" t="s">
        <v>44</v>
      </c>
      <c r="C26" s="21">
        <v>200020</v>
      </c>
      <c r="D26" s="22">
        <v>41922</v>
      </c>
      <c r="O26" s="6"/>
      <c r="P26" s="6"/>
      <c r="Q26" s="6"/>
      <c r="R26" s="6"/>
      <c r="S26" s="6"/>
      <c r="T26" s="6"/>
      <c r="U26" s="6"/>
    </row>
    <row r="27" spans="1:21" x14ac:dyDescent="0.15">
      <c r="A27" s="19" t="str">
        <f t="shared" ref="A27" si="6">HYPERLINK("#DATE!A1","OP220-1")</f>
        <v>OP220-1</v>
      </c>
      <c r="B27" s="20" t="s">
        <v>45</v>
      </c>
      <c r="C27" s="21">
        <v>200021</v>
      </c>
      <c r="D27" s="22">
        <v>41923</v>
      </c>
      <c r="O27" s="6"/>
      <c r="P27" s="6"/>
      <c r="Q27" s="6"/>
      <c r="R27" s="14"/>
      <c r="S27" s="14"/>
      <c r="T27" s="14"/>
      <c r="U27" s="14"/>
    </row>
    <row r="28" spans="1:21" ht="20.25" customHeight="1" x14ac:dyDescent="0.15">
      <c r="A28" s="20" t="s">
        <v>46</v>
      </c>
      <c r="B28" s="20" t="s">
        <v>47</v>
      </c>
      <c r="C28" s="21">
        <v>200022</v>
      </c>
      <c r="D28" s="22">
        <v>41924</v>
      </c>
      <c r="O28" s="29" t="s">
        <v>319</v>
      </c>
      <c r="P28" s="30"/>
      <c r="Q28" s="30"/>
      <c r="R28" s="30"/>
      <c r="S28" s="30"/>
      <c r="T28" s="30"/>
      <c r="U28" s="30"/>
    </row>
    <row r="29" spans="1:21" x14ac:dyDescent="0.15">
      <c r="A29" s="20" t="s">
        <v>48</v>
      </c>
      <c r="B29" s="20" t="s">
        <v>49</v>
      </c>
      <c r="C29" s="21">
        <v>200023</v>
      </c>
      <c r="D29" s="22">
        <v>41925</v>
      </c>
      <c r="O29" s="5" t="s">
        <v>14</v>
      </c>
      <c r="P29" s="5" t="s">
        <v>8</v>
      </c>
      <c r="Q29" s="5" t="s">
        <v>9</v>
      </c>
      <c r="R29" s="5" t="s">
        <v>10</v>
      </c>
      <c r="S29" s="5" t="s">
        <v>11</v>
      </c>
      <c r="T29" s="5" t="s">
        <v>12</v>
      </c>
      <c r="U29" s="5" t="s">
        <v>13</v>
      </c>
    </row>
    <row r="30" spans="1:21" x14ac:dyDescent="0.15">
      <c r="A30" s="19" t="str">
        <f t="shared" ref="A30" si="7">HYPERLINK("#DATE!A1","OP220-1")</f>
        <v>OP220-1</v>
      </c>
      <c r="B30" s="20" t="s">
        <v>50</v>
      </c>
      <c r="C30" s="21">
        <v>200024</v>
      </c>
      <c r="D30" s="22">
        <v>41926</v>
      </c>
      <c r="O30" s="9"/>
      <c r="P30" s="9">
        <v>41883</v>
      </c>
      <c r="Q30" s="9">
        <v>41884</v>
      </c>
      <c r="R30" s="9">
        <v>41885</v>
      </c>
      <c r="S30" s="9">
        <v>41886</v>
      </c>
      <c r="T30" s="9">
        <v>41887</v>
      </c>
      <c r="U30" s="9">
        <v>41888</v>
      </c>
    </row>
    <row r="31" spans="1:21" x14ac:dyDescent="0.15">
      <c r="A31" s="20" t="s">
        <v>51</v>
      </c>
      <c r="B31" s="20" t="s">
        <v>52</v>
      </c>
      <c r="C31" s="21">
        <v>200025</v>
      </c>
      <c r="D31" s="22">
        <v>41927</v>
      </c>
      <c r="O31" s="6"/>
      <c r="P31" s="8" t="str">
        <f>HYPERLINK("#配料!A25","OP212")</f>
        <v>OP212</v>
      </c>
      <c r="Q31" s="8" t="str">
        <f>HYPERLINK("#配料!A26","OP212")</f>
        <v>OP212</v>
      </c>
      <c r="R31" s="8" t="str">
        <f>HYPERLINK("#配料!A27","OP212")</f>
        <v>OP212</v>
      </c>
      <c r="S31" s="8" t="str">
        <f>HYPERLINK("#配料!A28","OP212")</f>
        <v>OP212</v>
      </c>
      <c r="T31" s="8" t="str">
        <f>HYPERLINK("#配料!A29","OP212")</f>
        <v>OP212</v>
      </c>
      <c r="U31" s="8" t="str">
        <f>HYPERLINK("#配料!A30","OP212")</f>
        <v>OP212</v>
      </c>
    </row>
    <row r="32" spans="1:21" x14ac:dyDescent="0.15">
      <c r="A32" s="20" t="s">
        <v>53</v>
      </c>
      <c r="B32" s="20" t="s">
        <v>54</v>
      </c>
      <c r="C32" s="21">
        <v>200026</v>
      </c>
      <c r="D32" s="22">
        <v>41928</v>
      </c>
      <c r="O32" s="6"/>
      <c r="P32" s="6"/>
      <c r="Q32" s="6"/>
      <c r="R32" s="6"/>
      <c r="S32" s="6"/>
      <c r="T32" s="6"/>
      <c r="U32" s="6"/>
    </row>
    <row r="33" spans="1:21" x14ac:dyDescent="0.15">
      <c r="A33" s="19" t="str">
        <f t="shared" ref="A33" si="8">HYPERLINK("#DATE!A1","OP220-1")</f>
        <v>OP220-1</v>
      </c>
      <c r="B33" s="20" t="s">
        <v>55</v>
      </c>
      <c r="C33" s="21">
        <v>200027</v>
      </c>
      <c r="D33" s="22">
        <v>41929</v>
      </c>
      <c r="O33" s="6"/>
      <c r="P33" s="6"/>
      <c r="Q33" s="6"/>
      <c r="R33" s="6"/>
      <c r="S33" s="6"/>
      <c r="T33" s="6"/>
      <c r="U33" s="6"/>
    </row>
    <row r="34" spans="1:21" x14ac:dyDescent="0.15">
      <c r="A34" s="20" t="s">
        <v>56</v>
      </c>
      <c r="B34" s="20" t="s">
        <v>57</v>
      </c>
      <c r="C34" s="21">
        <v>200028</v>
      </c>
      <c r="D34" s="22">
        <v>41930</v>
      </c>
      <c r="O34" s="9">
        <v>41889</v>
      </c>
      <c r="P34" s="9">
        <v>41890</v>
      </c>
      <c r="Q34" s="9">
        <v>41891</v>
      </c>
      <c r="R34" s="9">
        <v>41892</v>
      </c>
      <c r="S34" s="9">
        <v>41893</v>
      </c>
      <c r="T34" s="9">
        <v>41894</v>
      </c>
      <c r="U34" s="9">
        <v>41895</v>
      </c>
    </row>
    <row r="35" spans="1:21" x14ac:dyDescent="0.15">
      <c r="A35" s="20" t="s">
        <v>58</v>
      </c>
      <c r="B35" s="20" t="s">
        <v>59</v>
      </c>
      <c r="C35" s="21">
        <v>200029</v>
      </c>
      <c r="D35" s="22">
        <v>41931</v>
      </c>
      <c r="O35" s="8" t="str">
        <f>HYPERLINK("#配料!A31","OP212")</f>
        <v>OP212</v>
      </c>
      <c r="P35" s="8" t="str">
        <f>HYPERLINK("#配料!A32","OP212")</f>
        <v>OP212</v>
      </c>
      <c r="Q35" s="8" t="str">
        <f>HYPERLINK("#配料!A33","OP212")</f>
        <v>OP212</v>
      </c>
      <c r="R35" s="8" t="str">
        <f>HYPERLINK("#配料!A34","OP212")</f>
        <v>OP212</v>
      </c>
      <c r="S35" s="8" t="str">
        <f>HYPERLINK("#配料!A35","OP212")</f>
        <v>OP212</v>
      </c>
      <c r="T35" s="8" t="str">
        <f>HYPERLINK("#配料!A36","OP212")</f>
        <v>OP212</v>
      </c>
      <c r="U35" s="8" t="str">
        <f>HYPERLINK("#配料!A37","OP212")</f>
        <v>OP212</v>
      </c>
    </row>
    <row r="36" spans="1:21" x14ac:dyDescent="0.15">
      <c r="A36" s="19" t="str">
        <f t="shared" ref="A36" si="9">HYPERLINK("#DATE!A1","OP220-1")</f>
        <v>OP220-1</v>
      </c>
      <c r="B36" s="20" t="s">
        <v>60</v>
      </c>
      <c r="C36" s="21">
        <v>200030</v>
      </c>
      <c r="D36" s="22">
        <v>41932</v>
      </c>
      <c r="O36" s="6"/>
      <c r="P36" s="6"/>
      <c r="Q36" s="6"/>
      <c r="R36" s="6"/>
      <c r="S36" s="6"/>
      <c r="T36" s="6"/>
      <c r="U36" s="6"/>
    </row>
    <row r="37" spans="1:21" x14ac:dyDescent="0.15">
      <c r="A37" s="20" t="s">
        <v>61</v>
      </c>
      <c r="B37" s="20" t="s">
        <v>62</v>
      </c>
      <c r="C37" s="21">
        <v>200031</v>
      </c>
      <c r="D37" s="22">
        <v>41933</v>
      </c>
      <c r="O37" s="6"/>
      <c r="P37" s="6"/>
      <c r="Q37" s="6"/>
      <c r="R37" s="6"/>
      <c r="S37" s="6"/>
      <c r="T37" s="6"/>
      <c r="U37" s="6"/>
    </row>
    <row r="38" spans="1:21" x14ac:dyDescent="0.15">
      <c r="A38" s="20" t="s">
        <v>63</v>
      </c>
      <c r="B38" s="20" t="s">
        <v>64</v>
      </c>
      <c r="C38" s="21">
        <v>200032</v>
      </c>
      <c r="D38" s="22">
        <v>41934</v>
      </c>
      <c r="O38" s="9">
        <v>41896</v>
      </c>
      <c r="P38" s="9">
        <v>41897</v>
      </c>
      <c r="Q38" s="9">
        <v>41898</v>
      </c>
      <c r="R38" s="9">
        <v>41899</v>
      </c>
      <c r="S38" s="9">
        <v>41900</v>
      </c>
      <c r="T38" s="9">
        <v>41901</v>
      </c>
      <c r="U38" s="9">
        <v>41902</v>
      </c>
    </row>
    <row r="39" spans="1:21" x14ac:dyDescent="0.15">
      <c r="A39" s="19" t="str">
        <f t="shared" ref="A39" si="10">HYPERLINK("#DATE!A1","OP220-1")</f>
        <v>OP220-1</v>
      </c>
      <c r="B39" s="20" t="s">
        <v>65</v>
      </c>
      <c r="C39" s="21">
        <v>200033</v>
      </c>
      <c r="D39" s="22">
        <v>41935</v>
      </c>
      <c r="O39" s="8">
        <f>HYPERLINK("#配料!A38",)</f>
        <v>0</v>
      </c>
      <c r="P39" s="8">
        <f>HYPERLINK("#配料!A39",)</f>
        <v>0</v>
      </c>
      <c r="Q39" s="8">
        <f>HYPERLINK("#配料!A40",)</f>
        <v>0</v>
      </c>
      <c r="R39" s="8">
        <f>HYPERLINK("#配料!A41",)</f>
        <v>0</v>
      </c>
      <c r="S39" s="8">
        <f>HYPERLINK("#配料!A42",)</f>
        <v>0</v>
      </c>
      <c r="T39" s="8">
        <f>HYPERLINK("#配料!A43",)</f>
        <v>0</v>
      </c>
      <c r="U39" s="8">
        <f>HYPERLINK("#配料!A44",)</f>
        <v>0</v>
      </c>
    </row>
    <row r="40" spans="1:21" x14ac:dyDescent="0.15">
      <c r="A40" s="20" t="s">
        <v>66</v>
      </c>
      <c r="B40" s="20" t="s">
        <v>67</v>
      </c>
      <c r="C40" s="21">
        <v>200034</v>
      </c>
      <c r="D40" s="22">
        <v>41936</v>
      </c>
      <c r="O40" s="6"/>
      <c r="P40" s="6"/>
      <c r="Q40" s="6"/>
      <c r="R40" s="6"/>
      <c r="S40" s="6"/>
      <c r="T40" s="6"/>
      <c r="U40" s="6"/>
    </row>
    <row r="41" spans="1:21" x14ac:dyDescent="0.15">
      <c r="A41" s="20" t="s">
        <v>68</v>
      </c>
      <c r="B41" s="20" t="s">
        <v>69</v>
      </c>
      <c r="C41" s="21">
        <v>200035</v>
      </c>
      <c r="D41" s="22">
        <v>41937</v>
      </c>
      <c r="O41" s="6"/>
      <c r="P41" s="6"/>
      <c r="Q41" s="6"/>
      <c r="R41" s="6"/>
      <c r="S41" s="6"/>
      <c r="T41" s="6"/>
      <c r="U41" s="6"/>
    </row>
    <row r="42" spans="1:21" x14ac:dyDescent="0.15">
      <c r="A42" s="19" t="str">
        <f t="shared" ref="A42" si="11">HYPERLINK("#DATE!A1","OP220-1")</f>
        <v>OP220-1</v>
      </c>
      <c r="B42" s="20" t="s">
        <v>70</v>
      </c>
      <c r="C42" s="21">
        <v>200036</v>
      </c>
      <c r="D42" s="22">
        <v>41938</v>
      </c>
      <c r="O42" s="9">
        <v>41903</v>
      </c>
      <c r="P42" s="9">
        <v>41904</v>
      </c>
      <c r="Q42" s="9">
        <v>41905</v>
      </c>
      <c r="R42" s="9">
        <v>41906</v>
      </c>
      <c r="S42" s="9">
        <v>41907</v>
      </c>
      <c r="T42" s="9">
        <v>41908</v>
      </c>
      <c r="U42" s="9">
        <v>41909</v>
      </c>
    </row>
    <row r="43" spans="1:21" x14ac:dyDescent="0.15">
      <c r="A43" s="20" t="s">
        <v>71</v>
      </c>
      <c r="B43" s="20" t="s">
        <v>72</v>
      </c>
      <c r="C43" s="21">
        <v>200037</v>
      </c>
      <c r="D43" s="22">
        <v>41939</v>
      </c>
      <c r="O43" s="8">
        <f>HYPERLINK("#配料!A45",)</f>
        <v>0</v>
      </c>
      <c r="P43" s="8">
        <f>HYPERLINK("#配料!A46",)</f>
        <v>0</v>
      </c>
      <c r="Q43" s="8">
        <f>HYPERLINK("#配料!A47",)</f>
        <v>0</v>
      </c>
      <c r="R43" s="8">
        <f>HYPERLINK("#配料!A48",)</f>
        <v>0</v>
      </c>
      <c r="S43" s="8">
        <f>HYPERLINK("#配料!A49",)</f>
        <v>0</v>
      </c>
      <c r="T43" s="8">
        <f>HYPERLINK("#配料!A50",)</f>
        <v>0</v>
      </c>
      <c r="U43" s="8">
        <f>HYPERLINK("#配料!A51",)</f>
        <v>0</v>
      </c>
    </row>
    <row r="44" spans="1:21" x14ac:dyDescent="0.15">
      <c r="A44" s="20" t="s">
        <v>73</v>
      </c>
      <c r="B44" s="20" t="s">
        <v>74</v>
      </c>
      <c r="C44" s="21">
        <v>200038</v>
      </c>
      <c r="D44" s="22">
        <v>41940</v>
      </c>
      <c r="O44" s="6"/>
      <c r="P44" s="6"/>
      <c r="Q44" s="6"/>
      <c r="R44" s="6"/>
      <c r="S44" s="6"/>
      <c r="T44" s="6"/>
      <c r="U44" s="6"/>
    </row>
    <row r="45" spans="1:21" x14ac:dyDescent="0.15">
      <c r="A45" s="19" t="str">
        <f t="shared" ref="A45" si="12">HYPERLINK("#DATE!A1","OP220-1")</f>
        <v>OP220-1</v>
      </c>
      <c r="B45" s="20" t="s">
        <v>75</v>
      </c>
      <c r="C45" s="21">
        <v>200039</v>
      </c>
      <c r="D45" s="22">
        <v>41941</v>
      </c>
      <c r="O45" s="6"/>
      <c r="P45" s="6"/>
      <c r="Q45" s="6"/>
      <c r="R45" s="6"/>
      <c r="S45" s="6"/>
      <c r="T45" s="6"/>
      <c r="U45" s="6"/>
    </row>
    <row r="46" spans="1:21" x14ac:dyDescent="0.15">
      <c r="A46" s="20" t="s">
        <v>76</v>
      </c>
      <c r="B46" s="20" t="s">
        <v>77</v>
      </c>
      <c r="C46" s="21">
        <v>200040</v>
      </c>
      <c r="D46" s="22">
        <v>41942</v>
      </c>
      <c r="O46" s="9">
        <v>41910</v>
      </c>
      <c r="P46" s="9">
        <v>41911</v>
      </c>
      <c r="Q46" s="9">
        <v>41912</v>
      </c>
      <c r="R46" s="9"/>
      <c r="S46" s="9"/>
      <c r="T46" s="9"/>
      <c r="U46" s="9"/>
    </row>
    <row r="47" spans="1:21" x14ac:dyDescent="0.15">
      <c r="A47" s="20" t="s">
        <v>78</v>
      </c>
      <c r="B47" s="20" t="s">
        <v>79</v>
      </c>
      <c r="C47" s="21">
        <v>200041</v>
      </c>
      <c r="D47" s="22">
        <v>41943</v>
      </c>
      <c r="O47" s="8">
        <f>HYPERLINK("#配料!A52",)</f>
        <v>0</v>
      </c>
      <c r="P47" s="8">
        <f>HYPERLINK("#配料!A53",)</f>
        <v>0</v>
      </c>
      <c r="Q47" s="8">
        <f>HYPERLINK("#配料!A54",)</f>
        <v>0</v>
      </c>
      <c r="R47" s="6"/>
      <c r="S47" s="6"/>
      <c r="T47" s="6"/>
      <c r="U47" s="6"/>
    </row>
    <row r="48" spans="1:21" x14ac:dyDescent="0.15">
      <c r="A48" s="19" t="str">
        <f t="shared" ref="A48" si="13">HYPERLINK("#DATE!A1","OP220-1")</f>
        <v>OP220-1</v>
      </c>
      <c r="B48" s="20" t="s">
        <v>80</v>
      </c>
      <c r="C48" s="21">
        <v>200042</v>
      </c>
      <c r="D48" s="22">
        <v>41944</v>
      </c>
      <c r="O48" s="6"/>
      <c r="P48" s="6"/>
      <c r="Q48" s="6"/>
      <c r="R48" s="6"/>
      <c r="S48" s="6"/>
      <c r="T48" s="6"/>
      <c r="U48" s="6"/>
    </row>
    <row r="49" spans="1:21" x14ac:dyDescent="0.15">
      <c r="A49" s="20" t="s">
        <v>81</v>
      </c>
      <c r="B49" s="20" t="s">
        <v>82</v>
      </c>
      <c r="C49" s="21">
        <v>200043</v>
      </c>
      <c r="D49" s="22">
        <v>41945</v>
      </c>
      <c r="O49" s="6"/>
      <c r="P49" s="6"/>
      <c r="Q49" s="6"/>
      <c r="R49" s="6"/>
      <c r="S49" s="6"/>
      <c r="T49" s="6"/>
      <c r="U49" s="6"/>
    </row>
    <row r="50" spans="1:21" x14ac:dyDescent="0.15">
      <c r="A50" s="20" t="s">
        <v>83</v>
      </c>
      <c r="B50" s="20" t="s">
        <v>84</v>
      </c>
      <c r="C50" s="21">
        <v>200044</v>
      </c>
      <c r="D50" s="22">
        <v>41946</v>
      </c>
    </row>
    <row r="51" spans="1:21" x14ac:dyDescent="0.15">
      <c r="A51" s="19" t="str">
        <f t="shared" ref="A51" si="14">HYPERLINK("#DATE!A1","OP220-1")</f>
        <v>OP220-1</v>
      </c>
      <c r="B51" s="20" t="s">
        <v>85</v>
      </c>
      <c r="C51" s="21">
        <v>200045</v>
      </c>
      <c r="D51" s="22">
        <v>41947</v>
      </c>
    </row>
    <row r="52" spans="1:21" x14ac:dyDescent="0.15">
      <c r="A52" s="20" t="s">
        <v>86</v>
      </c>
      <c r="B52" s="20" t="s">
        <v>87</v>
      </c>
      <c r="C52" s="21">
        <v>200046</v>
      </c>
      <c r="D52" s="22">
        <v>41948</v>
      </c>
    </row>
    <row r="53" spans="1:21" x14ac:dyDescent="0.15">
      <c r="A53" s="20" t="s">
        <v>88</v>
      </c>
      <c r="B53" s="20" t="s">
        <v>89</v>
      </c>
      <c r="C53" s="21">
        <v>200047</v>
      </c>
      <c r="D53" s="22">
        <v>41949</v>
      </c>
    </row>
    <row r="54" spans="1:21" x14ac:dyDescent="0.15">
      <c r="A54" s="19" t="str">
        <f t="shared" ref="A54" si="15">HYPERLINK("#DATE!A1","OP220-1")</f>
        <v>OP220-1</v>
      </c>
      <c r="B54" s="20" t="s">
        <v>90</v>
      </c>
      <c r="C54" s="21">
        <v>200048</v>
      </c>
      <c r="D54" s="22">
        <v>41950</v>
      </c>
    </row>
    <row r="55" spans="1:21" x14ac:dyDescent="0.15">
      <c r="A55" s="20" t="s">
        <v>91</v>
      </c>
      <c r="B55" s="20" t="s">
        <v>92</v>
      </c>
      <c r="C55" s="21">
        <v>200049</v>
      </c>
      <c r="D55" s="22">
        <v>41951</v>
      </c>
    </row>
    <row r="56" spans="1:21" x14ac:dyDescent="0.15">
      <c r="A56" s="20" t="s">
        <v>93</v>
      </c>
      <c r="B56" s="20" t="s">
        <v>94</v>
      </c>
      <c r="C56" s="21">
        <v>200050</v>
      </c>
      <c r="D56" s="22">
        <v>41952</v>
      </c>
    </row>
    <row r="57" spans="1:21" x14ac:dyDescent="0.15">
      <c r="A57" s="19" t="str">
        <f t="shared" ref="A57" si="16">HYPERLINK("#DATE!A1","OP220-1")</f>
        <v>OP220-1</v>
      </c>
      <c r="B57" s="20" t="s">
        <v>95</v>
      </c>
      <c r="C57" s="21">
        <v>200051</v>
      </c>
      <c r="D57" s="22">
        <v>41953</v>
      </c>
    </row>
    <row r="58" spans="1:21" x14ac:dyDescent="0.15">
      <c r="A58" s="20" t="s">
        <v>96</v>
      </c>
      <c r="B58" s="20" t="s">
        <v>97</v>
      </c>
      <c r="C58" s="21">
        <v>200052</v>
      </c>
      <c r="D58" s="22">
        <v>41954</v>
      </c>
    </row>
    <row r="59" spans="1:21" x14ac:dyDescent="0.15">
      <c r="A59" s="20" t="s">
        <v>98</v>
      </c>
      <c r="B59" s="20" t="s">
        <v>99</v>
      </c>
      <c r="C59" s="21">
        <v>200053</v>
      </c>
      <c r="D59" s="22">
        <v>41955</v>
      </c>
    </row>
    <row r="60" spans="1:21" x14ac:dyDescent="0.15">
      <c r="A60" s="19" t="str">
        <f t="shared" ref="A60" si="17">HYPERLINK("#DATE!A1","OP220-1")</f>
        <v>OP220-1</v>
      </c>
      <c r="B60" s="20" t="s">
        <v>100</v>
      </c>
      <c r="C60" s="21">
        <v>200054</v>
      </c>
      <c r="D60" s="22">
        <v>41956</v>
      </c>
    </row>
    <row r="61" spans="1:21" x14ac:dyDescent="0.15">
      <c r="A61" s="20" t="s">
        <v>101</v>
      </c>
      <c r="B61" s="20" t="s">
        <v>102</v>
      </c>
      <c r="C61" s="21">
        <v>200055</v>
      </c>
      <c r="D61" s="22">
        <v>41957</v>
      </c>
    </row>
    <row r="62" spans="1:21" x14ac:dyDescent="0.15">
      <c r="A62" s="20" t="s">
        <v>103</v>
      </c>
      <c r="B62" s="20" t="s">
        <v>104</v>
      </c>
      <c r="C62" s="21">
        <v>200056</v>
      </c>
      <c r="D62" s="22">
        <v>41958</v>
      </c>
    </row>
    <row r="63" spans="1:21" x14ac:dyDescent="0.15">
      <c r="A63" s="19" t="str">
        <f t="shared" ref="A63" si="18">HYPERLINK("#DATE!A1","OP220-1")</f>
        <v>OP220-1</v>
      </c>
      <c r="B63" s="20" t="s">
        <v>105</v>
      </c>
      <c r="C63" s="21">
        <v>200057</v>
      </c>
      <c r="D63" s="22">
        <v>41959</v>
      </c>
    </row>
    <row r="64" spans="1:21" x14ac:dyDescent="0.15">
      <c r="A64" s="20" t="s">
        <v>106</v>
      </c>
      <c r="B64" s="20" t="s">
        <v>107</v>
      </c>
      <c r="C64" s="21">
        <v>200058</v>
      </c>
      <c r="D64" s="22">
        <v>41960</v>
      </c>
    </row>
    <row r="65" spans="1:4" x14ac:dyDescent="0.15">
      <c r="A65" s="20" t="s">
        <v>108</v>
      </c>
      <c r="B65" s="20" t="s">
        <v>109</v>
      </c>
      <c r="C65" s="21">
        <v>200059</v>
      </c>
      <c r="D65" s="22">
        <v>41961</v>
      </c>
    </row>
    <row r="66" spans="1:4" x14ac:dyDescent="0.15">
      <c r="A66" s="19" t="str">
        <f t="shared" ref="A66" si="19">HYPERLINK("#DATE!A1","OP220-1")</f>
        <v>OP220-1</v>
      </c>
      <c r="B66" s="20" t="s">
        <v>110</v>
      </c>
      <c r="C66" s="21">
        <v>200060</v>
      </c>
      <c r="D66" s="22">
        <v>41962</v>
      </c>
    </row>
    <row r="67" spans="1:4" x14ac:dyDescent="0.15">
      <c r="A67" s="20" t="s">
        <v>111</v>
      </c>
      <c r="B67" s="20" t="s">
        <v>112</v>
      </c>
      <c r="C67" s="21">
        <v>200061</v>
      </c>
      <c r="D67" s="22">
        <v>41963</v>
      </c>
    </row>
    <row r="68" spans="1:4" x14ac:dyDescent="0.15">
      <c r="A68" s="20" t="s">
        <v>113</v>
      </c>
      <c r="B68" s="20" t="s">
        <v>114</v>
      </c>
      <c r="C68" s="21">
        <v>200062</v>
      </c>
      <c r="D68" s="22">
        <v>41964</v>
      </c>
    </row>
    <row r="69" spans="1:4" x14ac:dyDescent="0.15">
      <c r="A69" s="19" t="str">
        <f t="shared" ref="A69" si="20">HYPERLINK("#DATE!A1","OP220-1")</f>
        <v>OP220-1</v>
      </c>
      <c r="B69" s="20" t="s">
        <v>115</v>
      </c>
      <c r="C69" s="21">
        <v>200063</v>
      </c>
      <c r="D69" s="22">
        <v>41965</v>
      </c>
    </row>
    <row r="70" spans="1:4" x14ac:dyDescent="0.15">
      <c r="A70" s="20" t="s">
        <v>116</v>
      </c>
      <c r="B70" s="20" t="s">
        <v>117</v>
      </c>
      <c r="C70" s="21">
        <v>200064</v>
      </c>
      <c r="D70" s="22">
        <v>41966</v>
      </c>
    </row>
    <row r="71" spans="1:4" x14ac:dyDescent="0.15">
      <c r="A71" s="20" t="s">
        <v>118</v>
      </c>
      <c r="B71" s="20" t="s">
        <v>119</v>
      </c>
      <c r="C71" s="21">
        <v>200065</v>
      </c>
      <c r="D71" s="22">
        <v>41967</v>
      </c>
    </row>
    <row r="72" spans="1:4" x14ac:dyDescent="0.15">
      <c r="A72" s="19" t="str">
        <f t="shared" ref="A72" si="21">HYPERLINK("#DATE!A1","OP220-1")</f>
        <v>OP220-1</v>
      </c>
      <c r="B72" s="20" t="s">
        <v>120</v>
      </c>
      <c r="C72" s="21">
        <v>200066</v>
      </c>
      <c r="D72" s="22">
        <v>41968</v>
      </c>
    </row>
    <row r="73" spans="1:4" x14ac:dyDescent="0.15">
      <c r="A73" s="20" t="s">
        <v>121</v>
      </c>
      <c r="B73" s="20" t="s">
        <v>122</v>
      </c>
      <c r="C73" s="21">
        <v>200067</v>
      </c>
      <c r="D73" s="22">
        <v>41969</v>
      </c>
    </row>
    <row r="74" spans="1:4" x14ac:dyDescent="0.15">
      <c r="A74" s="20" t="s">
        <v>123</v>
      </c>
      <c r="B74" s="20" t="s">
        <v>124</v>
      </c>
      <c r="C74" s="21">
        <v>200068</v>
      </c>
      <c r="D74" s="22">
        <v>41970</v>
      </c>
    </row>
    <row r="75" spans="1:4" x14ac:dyDescent="0.15">
      <c r="A75" s="19" t="str">
        <f t="shared" ref="A75" si="22">HYPERLINK("#DATE!A1","OP220-1")</f>
        <v>OP220-1</v>
      </c>
      <c r="B75" s="20" t="s">
        <v>125</v>
      </c>
      <c r="C75" s="21">
        <v>200069</v>
      </c>
      <c r="D75" s="22">
        <v>41971</v>
      </c>
    </row>
    <row r="76" spans="1:4" x14ac:dyDescent="0.15">
      <c r="A76" s="20" t="s">
        <v>126</v>
      </c>
      <c r="B76" s="20" t="s">
        <v>127</v>
      </c>
      <c r="C76" s="21">
        <v>200070</v>
      </c>
      <c r="D76" s="22">
        <v>41972</v>
      </c>
    </row>
    <row r="77" spans="1:4" x14ac:dyDescent="0.15">
      <c r="A77" s="20" t="s">
        <v>128</v>
      </c>
      <c r="B77" s="20" t="s">
        <v>129</v>
      </c>
      <c r="C77" s="21">
        <v>200071</v>
      </c>
      <c r="D77" s="22">
        <v>41973</v>
      </c>
    </row>
    <row r="78" spans="1:4" x14ac:dyDescent="0.15">
      <c r="A78" s="19" t="str">
        <f t="shared" ref="A78" si="23">HYPERLINK("#DATE!A1","OP220-1")</f>
        <v>OP220-1</v>
      </c>
      <c r="B78" s="20" t="s">
        <v>130</v>
      </c>
      <c r="C78" s="21">
        <v>200072</v>
      </c>
      <c r="D78" s="22">
        <v>41974</v>
      </c>
    </row>
    <row r="79" spans="1:4" x14ac:dyDescent="0.15">
      <c r="A79" s="20" t="s">
        <v>131</v>
      </c>
      <c r="B79" s="20" t="s">
        <v>132</v>
      </c>
      <c r="C79" s="21">
        <v>200073</v>
      </c>
      <c r="D79" s="22">
        <v>41975</v>
      </c>
    </row>
    <row r="80" spans="1:4" x14ac:dyDescent="0.15">
      <c r="A80" s="20" t="s">
        <v>133</v>
      </c>
      <c r="B80" s="20" t="s">
        <v>134</v>
      </c>
      <c r="C80" s="21">
        <v>200074</v>
      </c>
      <c r="D80" s="22">
        <v>41976</v>
      </c>
    </row>
    <row r="81" spans="1:4" x14ac:dyDescent="0.15">
      <c r="A81" s="19" t="str">
        <f t="shared" ref="A81" si="24">HYPERLINK("#DATE!A1","OP220-1")</f>
        <v>OP220-1</v>
      </c>
      <c r="B81" s="20" t="s">
        <v>135</v>
      </c>
      <c r="C81" s="21">
        <v>200075</v>
      </c>
      <c r="D81" s="22">
        <v>41977</v>
      </c>
    </row>
    <row r="82" spans="1:4" x14ac:dyDescent="0.15">
      <c r="A82" s="20" t="s">
        <v>136</v>
      </c>
      <c r="B82" s="20" t="s">
        <v>137</v>
      </c>
      <c r="C82" s="21">
        <v>200076</v>
      </c>
      <c r="D82" s="22">
        <v>41978</v>
      </c>
    </row>
    <row r="83" spans="1:4" x14ac:dyDescent="0.15">
      <c r="A83" s="20" t="s">
        <v>138</v>
      </c>
      <c r="B83" s="20" t="s">
        <v>139</v>
      </c>
      <c r="C83" s="21">
        <v>200077</v>
      </c>
      <c r="D83" s="22">
        <v>41979</v>
      </c>
    </row>
    <row r="84" spans="1:4" x14ac:dyDescent="0.15">
      <c r="A84" s="19" t="str">
        <f t="shared" ref="A84" si="25">HYPERLINK("#DATE!A1","OP220-1")</f>
        <v>OP220-1</v>
      </c>
      <c r="B84" s="20" t="s">
        <v>140</v>
      </c>
      <c r="C84" s="21">
        <v>200078</v>
      </c>
      <c r="D84" s="22">
        <v>41980</v>
      </c>
    </row>
    <row r="85" spans="1:4" x14ac:dyDescent="0.15">
      <c r="A85" s="20" t="s">
        <v>141</v>
      </c>
      <c r="B85" s="20" t="s">
        <v>142</v>
      </c>
      <c r="C85" s="21">
        <v>200079</v>
      </c>
      <c r="D85" s="22">
        <v>41981</v>
      </c>
    </row>
    <row r="86" spans="1:4" x14ac:dyDescent="0.15">
      <c r="A86" s="20" t="s">
        <v>143</v>
      </c>
      <c r="B86" s="20" t="s">
        <v>144</v>
      </c>
      <c r="C86" s="21">
        <v>200080</v>
      </c>
      <c r="D86" s="22">
        <v>41982</v>
      </c>
    </row>
    <row r="87" spans="1:4" x14ac:dyDescent="0.15">
      <c r="A87" s="19" t="str">
        <f t="shared" ref="A87" si="26">HYPERLINK("#DATE!A1","OP220-1")</f>
        <v>OP220-1</v>
      </c>
      <c r="B87" s="20" t="s">
        <v>145</v>
      </c>
      <c r="C87" s="21">
        <v>200081</v>
      </c>
      <c r="D87" s="22">
        <v>41983</v>
      </c>
    </row>
    <row r="88" spans="1:4" x14ac:dyDescent="0.15">
      <c r="A88" s="20" t="s">
        <v>146</v>
      </c>
      <c r="B88" s="20" t="s">
        <v>147</v>
      </c>
      <c r="C88" s="21">
        <v>200082</v>
      </c>
      <c r="D88" s="22">
        <v>41984</v>
      </c>
    </row>
    <row r="89" spans="1:4" x14ac:dyDescent="0.15">
      <c r="A89" s="20" t="s">
        <v>148</v>
      </c>
      <c r="B89" s="20" t="s">
        <v>149</v>
      </c>
      <c r="C89" s="21">
        <v>200083</v>
      </c>
      <c r="D89" s="22">
        <v>41985</v>
      </c>
    </row>
    <row r="90" spans="1:4" x14ac:dyDescent="0.15">
      <c r="A90" s="19" t="str">
        <f t="shared" ref="A90" si="27">HYPERLINK("#DATE!A1","OP220-1")</f>
        <v>OP220-1</v>
      </c>
      <c r="B90" s="20" t="s">
        <v>150</v>
      </c>
      <c r="C90" s="21">
        <v>200084</v>
      </c>
      <c r="D90" s="22">
        <v>41986</v>
      </c>
    </row>
    <row r="91" spans="1:4" x14ac:dyDescent="0.15">
      <c r="A91" s="20" t="s">
        <v>151</v>
      </c>
      <c r="B91" s="20" t="s">
        <v>152</v>
      </c>
      <c r="C91" s="21">
        <v>200085</v>
      </c>
      <c r="D91" s="22">
        <v>41987</v>
      </c>
    </row>
    <row r="92" spans="1:4" x14ac:dyDescent="0.15">
      <c r="A92" s="20" t="s">
        <v>153</v>
      </c>
      <c r="B92" s="20" t="s">
        <v>154</v>
      </c>
      <c r="C92" s="21">
        <v>200086</v>
      </c>
      <c r="D92" s="22">
        <v>41988</v>
      </c>
    </row>
    <row r="93" spans="1:4" x14ac:dyDescent="0.15">
      <c r="A93" s="19" t="str">
        <f t="shared" ref="A93" si="28">HYPERLINK("#DATE!A1","OP220-1")</f>
        <v>OP220-1</v>
      </c>
      <c r="B93" s="20" t="s">
        <v>155</v>
      </c>
      <c r="C93" s="21">
        <v>200087</v>
      </c>
      <c r="D93" s="22">
        <v>41989</v>
      </c>
    </row>
    <row r="94" spans="1:4" x14ac:dyDescent="0.15">
      <c r="A94" s="20" t="s">
        <v>156</v>
      </c>
      <c r="B94" s="20" t="s">
        <v>157</v>
      </c>
      <c r="C94" s="21">
        <v>200088</v>
      </c>
      <c r="D94" s="22">
        <v>41990</v>
      </c>
    </row>
    <row r="95" spans="1:4" x14ac:dyDescent="0.15">
      <c r="A95" s="20" t="s">
        <v>158</v>
      </c>
      <c r="B95" s="20" t="s">
        <v>159</v>
      </c>
      <c r="C95" s="21">
        <v>200089</v>
      </c>
      <c r="D95" s="22">
        <v>41991</v>
      </c>
    </row>
    <row r="96" spans="1:4" x14ac:dyDescent="0.15">
      <c r="A96" s="19" t="str">
        <f t="shared" ref="A96" si="29">HYPERLINK("#DATE!A1","OP220-1")</f>
        <v>OP220-1</v>
      </c>
      <c r="B96" s="20" t="s">
        <v>160</v>
      </c>
      <c r="C96" s="21">
        <v>200090</v>
      </c>
      <c r="D96" s="22">
        <v>41992</v>
      </c>
    </row>
    <row r="97" spans="1:4" x14ac:dyDescent="0.15">
      <c r="A97" s="20" t="s">
        <v>161</v>
      </c>
      <c r="B97" s="20" t="s">
        <v>162</v>
      </c>
      <c r="C97" s="21">
        <v>200091</v>
      </c>
      <c r="D97" s="22">
        <v>41993</v>
      </c>
    </row>
    <row r="98" spans="1:4" x14ac:dyDescent="0.15">
      <c r="A98" s="20" t="s">
        <v>163</v>
      </c>
      <c r="B98" s="20" t="s">
        <v>164</v>
      </c>
      <c r="C98" s="21">
        <v>200092</v>
      </c>
      <c r="D98" s="22">
        <v>41994</v>
      </c>
    </row>
    <row r="99" spans="1:4" x14ac:dyDescent="0.15">
      <c r="A99" s="19" t="str">
        <f t="shared" ref="A99" si="30">HYPERLINK("#DATE!A1","OP220-1")</f>
        <v>OP220-1</v>
      </c>
      <c r="B99" s="20" t="s">
        <v>165</v>
      </c>
      <c r="C99" s="21">
        <v>200093</v>
      </c>
      <c r="D99" s="22">
        <v>41995</v>
      </c>
    </row>
    <row r="100" spans="1:4" x14ac:dyDescent="0.15">
      <c r="A100" s="20" t="s">
        <v>166</v>
      </c>
      <c r="B100" s="20" t="s">
        <v>167</v>
      </c>
      <c r="C100" s="21">
        <v>200094</v>
      </c>
      <c r="D100" s="22">
        <v>41996</v>
      </c>
    </row>
    <row r="101" spans="1:4" x14ac:dyDescent="0.15">
      <c r="A101" s="20" t="s">
        <v>168</v>
      </c>
      <c r="B101" s="20" t="s">
        <v>169</v>
      </c>
      <c r="C101" s="21">
        <v>200095</v>
      </c>
      <c r="D101" s="22">
        <v>41997</v>
      </c>
    </row>
    <row r="102" spans="1:4" x14ac:dyDescent="0.15">
      <c r="A102" s="19" t="str">
        <f t="shared" ref="A102" si="31">HYPERLINK("#DATE!A1","OP220-1")</f>
        <v>OP220-1</v>
      </c>
      <c r="B102" s="20" t="s">
        <v>170</v>
      </c>
      <c r="C102" s="21">
        <v>200096</v>
      </c>
      <c r="D102" s="22">
        <v>41998</v>
      </c>
    </row>
    <row r="103" spans="1:4" x14ac:dyDescent="0.15">
      <c r="A103" s="20" t="s">
        <v>171</v>
      </c>
      <c r="B103" s="20" t="s">
        <v>172</v>
      </c>
      <c r="C103" s="21">
        <v>200097</v>
      </c>
      <c r="D103" s="22">
        <v>41999</v>
      </c>
    </row>
    <row r="104" spans="1:4" x14ac:dyDescent="0.15">
      <c r="A104" s="20" t="s">
        <v>173</v>
      </c>
      <c r="B104" s="20" t="s">
        <v>174</v>
      </c>
      <c r="C104" s="21">
        <v>200098</v>
      </c>
      <c r="D104" s="22">
        <v>42000</v>
      </c>
    </row>
    <row r="105" spans="1:4" x14ac:dyDescent="0.15">
      <c r="A105" s="19" t="str">
        <f t="shared" ref="A105" si="32">HYPERLINK("#DATE!A1","OP220-1")</f>
        <v>OP220-1</v>
      </c>
      <c r="B105" s="20" t="s">
        <v>175</v>
      </c>
      <c r="C105" s="21">
        <v>200099</v>
      </c>
      <c r="D105" s="22">
        <v>42001</v>
      </c>
    </row>
    <row r="106" spans="1:4" x14ac:dyDescent="0.15">
      <c r="A106" s="20" t="s">
        <v>176</v>
      </c>
      <c r="B106" s="20" t="s">
        <v>177</v>
      </c>
      <c r="C106" s="21">
        <v>200100</v>
      </c>
      <c r="D106" s="22">
        <v>42002</v>
      </c>
    </row>
    <row r="107" spans="1:4" x14ac:dyDescent="0.15">
      <c r="A107" s="20" t="s">
        <v>178</v>
      </c>
      <c r="B107" s="20" t="s">
        <v>179</v>
      </c>
      <c r="C107" s="21">
        <v>200101</v>
      </c>
      <c r="D107" s="22">
        <v>42003</v>
      </c>
    </row>
    <row r="108" spans="1:4" x14ac:dyDescent="0.15">
      <c r="A108" s="19" t="str">
        <f t="shared" ref="A108" si="33">HYPERLINK("#DATE!A1","OP220-1")</f>
        <v>OP220-1</v>
      </c>
      <c r="B108" s="20" t="s">
        <v>180</v>
      </c>
      <c r="C108" s="21">
        <v>200102</v>
      </c>
      <c r="D108" s="22">
        <v>42004</v>
      </c>
    </row>
    <row r="109" spans="1:4" x14ac:dyDescent="0.15">
      <c r="A109" s="20" t="s">
        <v>181</v>
      </c>
      <c r="B109" s="20" t="s">
        <v>182</v>
      </c>
      <c r="C109" s="21">
        <v>200103</v>
      </c>
      <c r="D109" s="22">
        <v>42005</v>
      </c>
    </row>
    <row r="110" spans="1:4" x14ac:dyDescent="0.15">
      <c r="A110" s="20" t="s">
        <v>183</v>
      </c>
      <c r="B110" s="20" t="s">
        <v>184</v>
      </c>
      <c r="C110" s="21">
        <v>200104</v>
      </c>
      <c r="D110" s="22">
        <v>42006</v>
      </c>
    </row>
    <row r="111" spans="1:4" x14ac:dyDescent="0.15">
      <c r="A111" s="19" t="str">
        <f t="shared" ref="A111" si="34">HYPERLINK("#DATE!A1","OP220-1")</f>
        <v>OP220-1</v>
      </c>
      <c r="B111" s="20" t="s">
        <v>185</v>
      </c>
      <c r="C111" s="21">
        <v>200105</v>
      </c>
      <c r="D111" s="22">
        <v>42007</v>
      </c>
    </row>
    <row r="112" spans="1:4" x14ac:dyDescent="0.15">
      <c r="A112" s="20" t="s">
        <v>186</v>
      </c>
      <c r="B112" s="20" t="s">
        <v>187</v>
      </c>
      <c r="C112" s="21">
        <v>200106</v>
      </c>
      <c r="D112" s="22">
        <v>42008</v>
      </c>
    </row>
    <row r="113" spans="1:4" x14ac:dyDescent="0.15">
      <c r="A113" s="20" t="s">
        <v>188</v>
      </c>
      <c r="B113" s="20" t="s">
        <v>189</v>
      </c>
      <c r="C113" s="21">
        <v>200107</v>
      </c>
      <c r="D113" s="22">
        <v>42009</v>
      </c>
    </row>
    <row r="114" spans="1:4" x14ac:dyDescent="0.15">
      <c r="A114" s="19" t="str">
        <f t="shared" ref="A114" si="35">HYPERLINK("#DATE!A1","OP220-1")</f>
        <v>OP220-1</v>
      </c>
      <c r="B114" s="20" t="s">
        <v>190</v>
      </c>
      <c r="C114" s="21">
        <v>200108</v>
      </c>
      <c r="D114" s="22">
        <v>42010</v>
      </c>
    </row>
    <row r="115" spans="1:4" x14ac:dyDescent="0.15">
      <c r="A115" s="20" t="s">
        <v>191</v>
      </c>
      <c r="B115" s="20" t="s">
        <v>192</v>
      </c>
      <c r="C115" s="21">
        <v>200109</v>
      </c>
      <c r="D115" s="22">
        <v>42011</v>
      </c>
    </row>
    <row r="116" spans="1:4" x14ac:dyDescent="0.15">
      <c r="A116" s="20" t="s">
        <v>193</v>
      </c>
      <c r="B116" s="20" t="s">
        <v>194</v>
      </c>
      <c r="C116" s="21">
        <v>200110</v>
      </c>
      <c r="D116" s="22">
        <v>42012</v>
      </c>
    </row>
    <row r="117" spans="1:4" x14ac:dyDescent="0.15">
      <c r="A117" s="19" t="str">
        <f t="shared" ref="A117" si="36">HYPERLINK("#DATE!A1","OP220-1")</f>
        <v>OP220-1</v>
      </c>
      <c r="B117" s="20" t="s">
        <v>195</v>
      </c>
      <c r="C117" s="21">
        <v>200111</v>
      </c>
      <c r="D117" s="22">
        <v>42013</v>
      </c>
    </row>
    <row r="118" spans="1:4" x14ac:dyDescent="0.15">
      <c r="A118" s="20" t="s">
        <v>196</v>
      </c>
      <c r="B118" s="20" t="s">
        <v>197</v>
      </c>
      <c r="C118" s="21">
        <v>200112</v>
      </c>
      <c r="D118" s="22">
        <v>42014</v>
      </c>
    </row>
    <row r="119" spans="1:4" x14ac:dyDescent="0.15">
      <c r="A119" s="20" t="s">
        <v>198</v>
      </c>
      <c r="B119" s="20" t="s">
        <v>199</v>
      </c>
      <c r="C119" s="21">
        <v>200113</v>
      </c>
      <c r="D119" s="22">
        <v>42015</v>
      </c>
    </row>
    <row r="120" spans="1:4" x14ac:dyDescent="0.15">
      <c r="A120" s="19" t="str">
        <f t="shared" ref="A120" si="37">HYPERLINK("#DATE!A1","OP220-1")</f>
        <v>OP220-1</v>
      </c>
      <c r="B120" s="20" t="s">
        <v>200</v>
      </c>
      <c r="C120" s="21">
        <v>200114</v>
      </c>
      <c r="D120" s="22">
        <v>42016</v>
      </c>
    </row>
    <row r="121" spans="1:4" x14ac:dyDescent="0.15">
      <c r="A121" s="20" t="s">
        <v>201</v>
      </c>
      <c r="B121" s="20" t="s">
        <v>202</v>
      </c>
      <c r="C121" s="21">
        <v>200115</v>
      </c>
      <c r="D121" s="22">
        <v>42017</v>
      </c>
    </row>
    <row r="122" spans="1:4" x14ac:dyDescent="0.15">
      <c r="A122" s="20" t="s">
        <v>203</v>
      </c>
      <c r="B122" s="20" t="s">
        <v>204</v>
      </c>
      <c r="C122" s="21">
        <v>200116</v>
      </c>
      <c r="D122" s="22">
        <v>42018</v>
      </c>
    </row>
    <row r="123" spans="1:4" x14ac:dyDescent="0.15">
      <c r="A123" s="19" t="str">
        <f t="shared" ref="A123" si="38">HYPERLINK("#DATE!A1","OP220-1")</f>
        <v>OP220-1</v>
      </c>
      <c r="B123" s="20" t="s">
        <v>205</v>
      </c>
      <c r="C123" s="21">
        <v>200117</v>
      </c>
      <c r="D123" s="22">
        <v>42019</v>
      </c>
    </row>
    <row r="124" spans="1:4" x14ac:dyDescent="0.15">
      <c r="A124" s="20" t="s">
        <v>206</v>
      </c>
      <c r="B124" s="20" t="s">
        <v>207</v>
      </c>
      <c r="C124" s="21">
        <v>200118</v>
      </c>
      <c r="D124" s="22">
        <v>42020</v>
      </c>
    </row>
    <row r="125" spans="1:4" x14ac:dyDescent="0.15">
      <c r="A125" s="20" t="s">
        <v>208</v>
      </c>
      <c r="B125" s="20" t="s">
        <v>209</v>
      </c>
      <c r="C125" s="21">
        <v>200119</v>
      </c>
      <c r="D125" s="22">
        <v>42021</v>
      </c>
    </row>
    <row r="126" spans="1:4" x14ac:dyDescent="0.15">
      <c r="A126" s="19" t="str">
        <f t="shared" ref="A126" si="39">HYPERLINK("#DATE!A1","OP220-1")</f>
        <v>OP220-1</v>
      </c>
      <c r="B126" s="20" t="s">
        <v>210</v>
      </c>
      <c r="C126" s="21">
        <v>200120</v>
      </c>
      <c r="D126" s="22">
        <v>42022</v>
      </c>
    </row>
    <row r="127" spans="1:4" x14ac:dyDescent="0.15">
      <c r="A127" s="20" t="s">
        <v>211</v>
      </c>
      <c r="B127" s="20" t="s">
        <v>212</v>
      </c>
      <c r="C127" s="21">
        <v>200121</v>
      </c>
      <c r="D127" s="22">
        <v>42023</v>
      </c>
    </row>
    <row r="128" spans="1:4" x14ac:dyDescent="0.15">
      <c r="A128" s="20" t="s">
        <v>213</v>
      </c>
      <c r="B128" s="20" t="s">
        <v>214</v>
      </c>
      <c r="C128" s="21">
        <v>200122</v>
      </c>
      <c r="D128" s="22">
        <v>42024</v>
      </c>
    </row>
    <row r="129" spans="1:4" x14ac:dyDescent="0.15">
      <c r="A129" s="19" t="str">
        <f t="shared" ref="A129" si="40">HYPERLINK("#DATE!A1","OP220-1")</f>
        <v>OP220-1</v>
      </c>
      <c r="B129" s="20" t="s">
        <v>215</v>
      </c>
      <c r="C129" s="21">
        <v>200123</v>
      </c>
      <c r="D129" s="22">
        <v>42025</v>
      </c>
    </row>
    <row r="130" spans="1:4" x14ac:dyDescent="0.15">
      <c r="A130" s="20" t="s">
        <v>216</v>
      </c>
      <c r="B130" s="20" t="s">
        <v>217</v>
      </c>
      <c r="C130" s="21">
        <v>200124</v>
      </c>
      <c r="D130" s="22">
        <v>42026</v>
      </c>
    </row>
    <row r="131" spans="1:4" x14ac:dyDescent="0.15">
      <c r="A131" s="20" t="s">
        <v>218</v>
      </c>
      <c r="B131" s="20" t="s">
        <v>219</v>
      </c>
      <c r="C131" s="21">
        <v>200125</v>
      </c>
      <c r="D131" s="22">
        <v>42027</v>
      </c>
    </row>
    <row r="132" spans="1:4" x14ac:dyDescent="0.15">
      <c r="A132" s="19" t="str">
        <f t="shared" ref="A132" si="41">HYPERLINK("#DATE!A1","OP220-1")</f>
        <v>OP220-1</v>
      </c>
      <c r="B132" s="20" t="s">
        <v>220</v>
      </c>
      <c r="C132" s="21">
        <v>200126</v>
      </c>
      <c r="D132" s="22">
        <v>42028</v>
      </c>
    </row>
    <row r="133" spans="1:4" x14ac:dyDescent="0.15">
      <c r="A133" s="20" t="s">
        <v>221</v>
      </c>
      <c r="B133" s="20" t="s">
        <v>222</v>
      </c>
      <c r="C133" s="21">
        <v>200127</v>
      </c>
      <c r="D133" s="22">
        <v>42029</v>
      </c>
    </row>
    <row r="134" spans="1:4" x14ac:dyDescent="0.15">
      <c r="A134" s="20" t="s">
        <v>223</v>
      </c>
      <c r="B134" s="20" t="s">
        <v>224</v>
      </c>
      <c r="C134" s="21">
        <v>200128</v>
      </c>
      <c r="D134" s="22">
        <v>42030</v>
      </c>
    </row>
    <row r="135" spans="1:4" x14ac:dyDescent="0.15">
      <c r="A135" s="19" t="str">
        <f t="shared" ref="A135" si="42">HYPERLINK("#DATE!A1","OP220-1")</f>
        <v>OP220-1</v>
      </c>
      <c r="B135" s="20" t="s">
        <v>225</v>
      </c>
      <c r="C135" s="21">
        <v>200129</v>
      </c>
      <c r="D135" s="22">
        <v>42031</v>
      </c>
    </row>
    <row r="136" spans="1:4" x14ac:dyDescent="0.15">
      <c r="A136" s="20" t="s">
        <v>226</v>
      </c>
      <c r="B136" s="20" t="s">
        <v>227</v>
      </c>
      <c r="C136" s="21">
        <v>200130</v>
      </c>
      <c r="D136" s="22">
        <v>42032</v>
      </c>
    </row>
    <row r="137" spans="1:4" x14ac:dyDescent="0.15">
      <c r="A137" s="20" t="s">
        <v>228</v>
      </c>
      <c r="B137" s="20" t="s">
        <v>229</v>
      </c>
      <c r="C137" s="21">
        <v>200131</v>
      </c>
      <c r="D137" s="22">
        <v>42033</v>
      </c>
    </row>
    <row r="138" spans="1:4" x14ac:dyDescent="0.15">
      <c r="A138" s="19" t="str">
        <f t="shared" ref="A138" si="43">HYPERLINK("#DATE!A1","OP220-1")</f>
        <v>OP220-1</v>
      </c>
      <c r="B138" s="20" t="s">
        <v>230</v>
      </c>
      <c r="C138" s="21">
        <v>200132</v>
      </c>
      <c r="D138" s="22">
        <v>42034</v>
      </c>
    </row>
    <row r="139" spans="1:4" x14ac:dyDescent="0.15">
      <c r="A139" s="20" t="s">
        <v>231</v>
      </c>
      <c r="B139" s="20" t="s">
        <v>232</v>
      </c>
      <c r="C139" s="21">
        <v>200133</v>
      </c>
      <c r="D139" s="22">
        <v>42035</v>
      </c>
    </row>
    <row r="140" spans="1:4" x14ac:dyDescent="0.15">
      <c r="A140" s="20" t="s">
        <v>233</v>
      </c>
      <c r="B140" s="20" t="s">
        <v>234</v>
      </c>
      <c r="C140" s="21">
        <v>200134</v>
      </c>
      <c r="D140" s="22">
        <v>42036</v>
      </c>
    </row>
    <row r="141" spans="1:4" x14ac:dyDescent="0.15">
      <c r="A141" s="19" t="str">
        <f t="shared" ref="A141" si="44">HYPERLINK("#DATE!A1","OP220-1")</f>
        <v>OP220-1</v>
      </c>
      <c r="B141" s="20" t="s">
        <v>235</v>
      </c>
      <c r="C141" s="21">
        <v>200135</v>
      </c>
      <c r="D141" s="22">
        <v>42037</v>
      </c>
    </row>
    <row r="142" spans="1:4" x14ac:dyDescent="0.15">
      <c r="A142" s="20" t="s">
        <v>236</v>
      </c>
      <c r="B142" s="20" t="s">
        <v>237</v>
      </c>
      <c r="C142" s="21">
        <v>200136</v>
      </c>
      <c r="D142" s="22">
        <v>42038</v>
      </c>
    </row>
    <row r="143" spans="1:4" x14ac:dyDescent="0.15">
      <c r="A143" s="20" t="s">
        <v>238</v>
      </c>
      <c r="B143" s="20" t="s">
        <v>239</v>
      </c>
      <c r="C143" s="21">
        <v>200137</v>
      </c>
      <c r="D143" s="22">
        <v>42039</v>
      </c>
    </row>
    <row r="144" spans="1:4" x14ac:dyDescent="0.15">
      <c r="A144" s="19" t="str">
        <f t="shared" ref="A144" si="45">HYPERLINK("#DATE!A1","OP220-1")</f>
        <v>OP220-1</v>
      </c>
      <c r="B144" s="20" t="s">
        <v>240</v>
      </c>
      <c r="C144" s="21">
        <v>200138</v>
      </c>
      <c r="D144" s="22">
        <v>42040</v>
      </c>
    </row>
    <row r="145" spans="1:4" x14ac:dyDescent="0.15">
      <c r="A145" s="20" t="s">
        <v>241</v>
      </c>
      <c r="B145" s="20" t="s">
        <v>242</v>
      </c>
      <c r="C145" s="21">
        <v>200139</v>
      </c>
      <c r="D145" s="22">
        <v>42041</v>
      </c>
    </row>
    <row r="146" spans="1:4" x14ac:dyDescent="0.15">
      <c r="A146" s="20" t="s">
        <v>243</v>
      </c>
      <c r="B146" s="20" t="s">
        <v>244</v>
      </c>
      <c r="C146" s="21">
        <v>200140</v>
      </c>
      <c r="D146" s="22">
        <v>42042</v>
      </c>
    </row>
    <row r="147" spans="1:4" x14ac:dyDescent="0.15">
      <c r="A147" s="19" t="str">
        <f t="shared" ref="A147" si="46">HYPERLINK("#DATE!A1","OP220-1")</f>
        <v>OP220-1</v>
      </c>
      <c r="B147" s="20" t="s">
        <v>245</v>
      </c>
      <c r="C147" s="21">
        <v>200141</v>
      </c>
      <c r="D147" s="22">
        <v>42043</v>
      </c>
    </row>
    <row r="148" spans="1:4" x14ac:dyDescent="0.15">
      <c r="A148" s="20" t="s">
        <v>246</v>
      </c>
      <c r="B148" s="20" t="s">
        <v>247</v>
      </c>
      <c r="C148" s="21">
        <v>200142</v>
      </c>
      <c r="D148" s="22">
        <v>42044</v>
      </c>
    </row>
    <row r="149" spans="1:4" x14ac:dyDescent="0.15">
      <c r="A149" s="20" t="s">
        <v>248</v>
      </c>
      <c r="B149" s="20" t="s">
        <v>249</v>
      </c>
      <c r="C149" s="21">
        <v>200143</v>
      </c>
      <c r="D149" s="22">
        <v>42045</v>
      </c>
    </row>
    <row r="150" spans="1:4" x14ac:dyDescent="0.15">
      <c r="A150" s="19" t="str">
        <f t="shared" ref="A150" si="47">HYPERLINK("#DATE!A1","OP220-1")</f>
        <v>OP220-1</v>
      </c>
      <c r="B150" s="20" t="s">
        <v>250</v>
      </c>
      <c r="C150" s="21">
        <v>200144</v>
      </c>
      <c r="D150" s="22">
        <v>42046</v>
      </c>
    </row>
    <row r="151" spans="1:4" x14ac:dyDescent="0.15">
      <c r="A151" s="20" t="s">
        <v>251</v>
      </c>
      <c r="B151" s="20" t="s">
        <v>252</v>
      </c>
      <c r="C151" s="21">
        <v>200145</v>
      </c>
      <c r="D151" s="22">
        <v>42047</v>
      </c>
    </row>
    <row r="152" spans="1:4" x14ac:dyDescent="0.15">
      <c r="A152" s="20" t="s">
        <v>253</v>
      </c>
      <c r="B152" s="20" t="s">
        <v>254</v>
      </c>
      <c r="C152" s="21">
        <v>200146</v>
      </c>
      <c r="D152" s="22">
        <v>42048</v>
      </c>
    </row>
    <row r="153" spans="1:4" x14ac:dyDescent="0.15">
      <c r="A153" s="19" t="str">
        <f t="shared" ref="A153" si="48">HYPERLINK("#DATE!A1","OP220-1")</f>
        <v>OP220-1</v>
      </c>
      <c r="B153" s="20" t="s">
        <v>255</v>
      </c>
      <c r="C153" s="21">
        <v>200147</v>
      </c>
      <c r="D153" s="22">
        <v>42049</v>
      </c>
    </row>
    <row r="154" spans="1:4" x14ac:dyDescent="0.15">
      <c r="A154" s="20" t="s">
        <v>256</v>
      </c>
      <c r="B154" s="20" t="s">
        <v>257</v>
      </c>
      <c r="C154" s="21">
        <v>200148</v>
      </c>
      <c r="D154" s="22">
        <v>42050</v>
      </c>
    </row>
    <row r="155" spans="1:4" x14ac:dyDescent="0.15">
      <c r="A155" s="20" t="s">
        <v>258</v>
      </c>
      <c r="B155" s="20" t="s">
        <v>259</v>
      </c>
      <c r="C155" s="21">
        <v>200149</v>
      </c>
      <c r="D155" s="22">
        <v>42051</v>
      </c>
    </row>
    <row r="156" spans="1:4" x14ac:dyDescent="0.15">
      <c r="A156" s="19" t="str">
        <f t="shared" ref="A156" si="49">HYPERLINK("#DATE!A1","OP220-1")</f>
        <v>OP220-1</v>
      </c>
      <c r="B156" s="20" t="s">
        <v>260</v>
      </c>
      <c r="C156" s="21">
        <v>200150</v>
      </c>
      <c r="D156" s="22">
        <v>42052</v>
      </c>
    </row>
    <row r="157" spans="1:4" x14ac:dyDescent="0.15">
      <c r="A157" s="20" t="s">
        <v>261</v>
      </c>
      <c r="B157" s="20" t="s">
        <v>262</v>
      </c>
      <c r="C157" s="21">
        <v>200151</v>
      </c>
      <c r="D157" s="22">
        <v>42053</v>
      </c>
    </row>
    <row r="158" spans="1:4" x14ac:dyDescent="0.15">
      <c r="A158" s="20" t="s">
        <v>263</v>
      </c>
      <c r="B158" s="20" t="s">
        <v>264</v>
      </c>
      <c r="C158" s="21">
        <v>200152</v>
      </c>
      <c r="D158" s="22">
        <v>42054</v>
      </c>
    </row>
    <row r="159" spans="1:4" x14ac:dyDescent="0.15">
      <c r="A159" s="19" t="str">
        <f t="shared" ref="A159" si="50">HYPERLINK("#DATE!A1","OP220-1")</f>
        <v>OP220-1</v>
      </c>
      <c r="B159" s="20" t="s">
        <v>265</v>
      </c>
      <c r="C159" s="21">
        <v>200153</v>
      </c>
      <c r="D159" s="22">
        <v>42055</v>
      </c>
    </row>
    <row r="160" spans="1:4" x14ac:dyDescent="0.15">
      <c r="A160" s="20" t="s">
        <v>266</v>
      </c>
      <c r="B160" s="20" t="s">
        <v>267</v>
      </c>
      <c r="C160" s="21">
        <v>200154</v>
      </c>
      <c r="D160" s="22">
        <v>42056</v>
      </c>
    </row>
    <row r="161" spans="1:4" x14ac:dyDescent="0.15">
      <c r="A161" s="20" t="s">
        <v>268</v>
      </c>
      <c r="B161" s="20" t="s">
        <v>269</v>
      </c>
      <c r="C161" s="21">
        <v>200155</v>
      </c>
      <c r="D161" s="22">
        <v>42057</v>
      </c>
    </row>
    <row r="162" spans="1:4" x14ac:dyDescent="0.15">
      <c r="A162" s="19" t="str">
        <f t="shared" ref="A162" si="51">HYPERLINK("#DATE!A1","OP220-1")</f>
        <v>OP220-1</v>
      </c>
      <c r="B162" s="20" t="s">
        <v>270</v>
      </c>
      <c r="C162" s="21">
        <v>200156</v>
      </c>
      <c r="D162" s="22">
        <v>42058</v>
      </c>
    </row>
    <row r="163" spans="1:4" x14ac:dyDescent="0.15">
      <c r="A163" s="20" t="s">
        <v>271</v>
      </c>
      <c r="B163" s="20" t="s">
        <v>272</v>
      </c>
      <c r="C163" s="21">
        <v>200157</v>
      </c>
      <c r="D163" s="22">
        <v>42059</v>
      </c>
    </row>
    <row r="164" spans="1:4" x14ac:dyDescent="0.15">
      <c r="A164" s="20" t="s">
        <v>273</v>
      </c>
      <c r="B164" s="20" t="s">
        <v>274</v>
      </c>
      <c r="C164" s="21">
        <v>200158</v>
      </c>
      <c r="D164" s="22">
        <v>42060</v>
      </c>
    </row>
    <row r="165" spans="1:4" x14ac:dyDescent="0.15">
      <c r="A165" s="19" t="str">
        <f t="shared" ref="A165" si="52">HYPERLINK("#DATE!A1","OP220-1")</f>
        <v>OP220-1</v>
      </c>
      <c r="B165" s="20" t="s">
        <v>275</v>
      </c>
      <c r="C165" s="21">
        <v>200159</v>
      </c>
      <c r="D165" s="22">
        <v>42061</v>
      </c>
    </row>
    <row r="166" spans="1:4" x14ac:dyDescent="0.15">
      <c r="A166" s="20" t="s">
        <v>276</v>
      </c>
      <c r="B166" s="20" t="s">
        <v>277</v>
      </c>
      <c r="C166" s="21">
        <v>200160</v>
      </c>
      <c r="D166" s="22">
        <v>42062</v>
      </c>
    </row>
    <row r="167" spans="1:4" x14ac:dyDescent="0.15">
      <c r="A167" s="20" t="s">
        <v>278</v>
      </c>
      <c r="B167" s="20" t="s">
        <v>279</v>
      </c>
      <c r="C167" s="21">
        <v>200161</v>
      </c>
      <c r="D167" s="22">
        <v>42063</v>
      </c>
    </row>
    <row r="168" spans="1:4" x14ac:dyDescent="0.15">
      <c r="A168" s="19" t="str">
        <f t="shared" ref="A168" si="53">HYPERLINK("#DATE!A1","OP220-1")</f>
        <v>OP220-1</v>
      </c>
      <c r="B168" s="20" t="s">
        <v>280</v>
      </c>
      <c r="C168" s="21">
        <v>200162</v>
      </c>
      <c r="D168" s="22">
        <v>42064</v>
      </c>
    </row>
    <row r="169" spans="1:4" x14ac:dyDescent="0.15">
      <c r="A169" s="20" t="s">
        <v>281</v>
      </c>
      <c r="B169" s="20" t="s">
        <v>282</v>
      </c>
      <c r="C169" s="21">
        <v>200163</v>
      </c>
      <c r="D169" s="22">
        <v>42065</v>
      </c>
    </row>
    <row r="170" spans="1:4" x14ac:dyDescent="0.15">
      <c r="A170" s="20" t="s">
        <v>283</v>
      </c>
      <c r="B170" s="20" t="s">
        <v>284</v>
      </c>
      <c r="C170" s="21">
        <v>200164</v>
      </c>
      <c r="D170" s="22">
        <v>42066</v>
      </c>
    </row>
    <row r="171" spans="1:4" x14ac:dyDescent="0.15">
      <c r="A171" s="19" t="str">
        <f t="shared" ref="A171" si="54">HYPERLINK("#DATE!A1","OP220-1")</f>
        <v>OP220-1</v>
      </c>
      <c r="B171" s="20" t="s">
        <v>285</v>
      </c>
      <c r="C171" s="21">
        <v>200165</v>
      </c>
      <c r="D171" s="22">
        <v>42067</v>
      </c>
    </row>
    <row r="172" spans="1:4" x14ac:dyDescent="0.15">
      <c r="A172" s="20" t="s">
        <v>286</v>
      </c>
      <c r="B172" s="20" t="s">
        <v>287</v>
      </c>
      <c r="C172" s="21">
        <v>200166</v>
      </c>
      <c r="D172" s="22">
        <v>42068</v>
      </c>
    </row>
    <row r="173" spans="1:4" x14ac:dyDescent="0.15">
      <c r="A173" s="20" t="s">
        <v>288</v>
      </c>
      <c r="B173" s="20" t="s">
        <v>289</v>
      </c>
      <c r="C173" s="21">
        <v>200167</v>
      </c>
      <c r="D173" s="22">
        <v>42069</v>
      </c>
    </row>
    <row r="174" spans="1:4" x14ac:dyDescent="0.15">
      <c r="A174" s="19" t="str">
        <f t="shared" ref="A174" si="55">HYPERLINK("#DATE!A1","OP220-1")</f>
        <v>OP220-1</v>
      </c>
      <c r="B174" s="20" t="s">
        <v>290</v>
      </c>
      <c r="C174" s="21">
        <v>200168</v>
      </c>
      <c r="D174" s="22">
        <v>42070</v>
      </c>
    </row>
    <row r="175" spans="1:4" x14ac:dyDescent="0.15">
      <c r="A175" s="20" t="s">
        <v>291</v>
      </c>
      <c r="B175" s="20" t="s">
        <v>292</v>
      </c>
      <c r="C175" s="21">
        <v>200169</v>
      </c>
      <c r="D175" s="22">
        <v>42071</v>
      </c>
    </row>
    <row r="176" spans="1:4" x14ac:dyDescent="0.15">
      <c r="A176" s="20" t="s">
        <v>293</v>
      </c>
      <c r="B176" s="20" t="s">
        <v>294</v>
      </c>
      <c r="C176" s="21">
        <v>200170</v>
      </c>
      <c r="D176" s="22">
        <v>42072</v>
      </c>
    </row>
    <row r="177" spans="1:4" x14ac:dyDescent="0.15">
      <c r="A177" s="19" t="str">
        <f t="shared" ref="A177" si="56">HYPERLINK("#DATE!A1","OP220-1")</f>
        <v>OP220-1</v>
      </c>
      <c r="B177" s="20" t="s">
        <v>295</v>
      </c>
      <c r="C177" s="21">
        <v>200171</v>
      </c>
      <c r="D177" s="22">
        <v>42073</v>
      </c>
    </row>
    <row r="178" spans="1:4" x14ac:dyDescent="0.15">
      <c r="A178" s="20" t="s">
        <v>296</v>
      </c>
      <c r="B178" s="20" t="s">
        <v>297</v>
      </c>
      <c r="C178" s="21">
        <v>200172</v>
      </c>
      <c r="D178" s="22">
        <v>42074</v>
      </c>
    </row>
    <row r="179" spans="1:4" x14ac:dyDescent="0.15">
      <c r="A179" s="20" t="s">
        <v>298</v>
      </c>
      <c r="B179" s="20" t="s">
        <v>299</v>
      </c>
      <c r="C179" s="21">
        <v>200173</v>
      </c>
      <c r="D179" s="22">
        <v>42075</v>
      </c>
    </row>
    <row r="180" spans="1:4" x14ac:dyDescent="0.15">
      <c r="A180" s="19" t="str">
        <f t="shared" ref="A180" si="57">HYPERLINK("#DATE!A1","OP220-1")</f>
        <v>OP220-1</v>
      </c>
      <c r="B180" s="20" t="s">
        <v>300</v>
      </c>
      <c r="C180" s="21">
        <v>200174</v>
      </c>
      <c r="D180" s="22">
        <v>42076</v>
      </c>
    </row>
    <row r="181" spans="1:4" x14ac:dyDescent="0.15">
      <c r="A181" s="20" t="s">
        <v>301</v>
      </c>
      <c r="B181" s="20" t="s">
        <v>302</v>
      </c>
      <c r="C181" s="21">
        <v>200175</v>
      </c>
      <c r="D181" s="22">
        <v>42077</v>
      </c>
    </row>
    <row r="182" spans="1:4" x14ac:dyDescent="0.15">
      <c r="A182" s="20" t="s">
        <v>303</v>
      </c>
      <c r="B182" s="20" t="s">
        <v>304</v>
      </c>
      <c r="C182" s="21">
        <v>200176</v>
      </c>
      <c r="D182" s="22">
        <v>42078</v>
      </c>
    </row>
    <row r="183" spans="1:4" x14ac:dyDescent="0.15">
      <c r="A183" s="19" t="str">
        <f t="shared" ref="A183" si="58">HYPERLINK("#DATE!A1","OP220-1")</f>
        <v>OP220-1</v>
      </c>
      <c r="B183" s="20" t="s">
        <v>305</v>
      </c>
      <c r="C183" s="21">
        <v>200177</v>
      </c>
      <c r="D183" s="22">
        <v>42079</v>
      </c>
    </row>
    <row r="184" spans="1:4" x14ac:dyDescent="0.15">
      <c r="A184" s="20" t="s">
        <v>306</v>
      </c>
      <c r="B184" s="20" t="s">
        <v>307</v>
      </c>
      <c r="C184" s="21">
        <v>200178</v>
      </c>
      <c r="D184" s="22">
        <v>42080</v>
      </c>
    </row>
    <row r="185" spans="1:4" x14ac:dyDescent="0.15">
      <c r="A185" s="20" t="s">
        <v>308</v>
      </c>
      <c r="B185" s="20" t="s">
        <v>309</v>
      </c>
      <c r="C185" s="21">
        <v>200179</v>
      </c>
      <c r="D185" s="22">
        <v>42081</v>
      </c>
    </row>
  </sheetData>
  <mergeCells count="3">
    <mergeCell ref="O5:U5"/>
    <mergeCell ref="A1:D1"/>
    <mergeCell ref="O28:U28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5"/>
  <sheetViews>
    <sheetView topLeftCell="A19" workbookViewId="0">
      <selection activeCell="E23" sqref="E23"/>
    </sheetView>
  </sheetViews>
  <sheetFormatPr defaultRowHeight="16.5" x14ac:dyDescent="0.15"/>
  <cols>
    <col min="1" max="1" width="9.75" style="15" customWidth="1"/>
    <col min="2" max="2" width="12" style="15" customWidth="1"/>
    <col min="3" max="3" width="15.5" style="15" customWidth="1"/>
    <col min="4" max="4" width="13.625" style="15" customWidth="1"/>
    <col min="5" max="5" width="12" style="15" customWidth="1"/>
    <col min="6" max="6" width="0" style="15" hidden="1" customWidth="1"/>
    <col min="7" max="13" width="12.625" style="15" hidden="1" customWidth="1"/>
    <col min="14" max="17" width="9" style="15"/>
    <col min="18" max="18" width="9.625" style="15" bestFit="1" customWidth="1"/>
    <col min="19" max="16384" width="9" style="15"/>
  </cols>
  <sheetData>
    <row r="1" spans="1:21" ht="20.25" customHeight="1" x14ac:dyDescent="0.15">
      <c r="A1" s="27" t="s">
        <v>316</v>
      </c>
      <c r="B1" s="28"/>
      <c r="C1" s="28"/>
      <c r="D1" s="28"/>
    </row>
    <row r="2" spans="1:21" ht="3" customHeight="1" x14ac:dyDescent="0.15"/>
    <row r="3" spans="1:21" s="3" customFormat="1" x14ac:dyDescent="0.15">
      <c r="A3" s="23" t="s">
        <v>313</v>
      </c>
      <c r="B3" s="10"/>
      <c r="C3" s="16" t="s">
        <v>314</v>
      </c>
      <c r="D3" s="10"/>
      <c r="E3" s="1"/>
      <c r="F3" s="2"/>
    </row>
    <row r="4" spans="1:21" ht="3" customHeight="1" x14ac:dyDescent="0.15">
      <c r="A4" s="17"/>
      <c r="B4" s="17"/>
      <c r="C4" s="17"/>
      <c r="D4" s="17"/>
    </row>
    <row r="5" spans="1:21" ht="20.25" customHeight="1" x14ac:dyDescent="0.15">
      <c r="A5" s="18" t="s">
        <v>311</v>
      </c>
      <c r="B5" s="18" t="s">
        <v>2</v>
      </c>
      <c r="C5" s="18" t="s">
        <v>0</v>
      </c>
      <c r="D5" s="18" t="s">
        <v>1</v>
      </c>
      <c r="O5" s="29" t="s">
        <v>320</v>
      </c>
      <c r="P5" s="30"/>
      <c r="Q5" s="30"/>
      <c r="R5" s="30"/>
      <c r="S5" s="30"/>
      <c r="T5" s="30"/>
      <c r="U5" s="30"/>
    </row>
    <row r="6" spans="1:21" ht="15" customHeight="1" x14ac:dyDescent="0.15">
      <c r="A6" s="19" t="str">
        <f>HYPERLINK("#DATE!A1","OP220-1")</f>
        <v>OP220-1</v>
      </c>
      <c r="B6" s="20" t="s">
        <v>3</v>
      </c>
      <c r="C6" s="21">
        <v>200000</v>
      </c>
      <c r="D6" s="22">
        <v>41902</v>
      </c>
      <c r="O6" s="5" t="s">
        <v>14</v>
      </c>
      <c r="P6" s="5" t="s">
        <v>8</v>
      </c>
      <c r="Q6" s="5" t="s">
        <v>9</v>
      </c>
      <c r="R6" s="5" t="s">
        <v>10</v>
      </c>
      <c r="S6" s="5" t="s">
        <v>11</v>
      </c>
      <c r="T6" s="5" t="s">
        <v>12</v>
      </c>
      <c r="U6" s="5" t="s">
        <v>13</v>
      </c>
    </row>
    <row r="7" spans="1:21" x14ac:dyDescent="0.15">
      <c r="A7" s="20" t="s">
        <v>4</v>
      </c>
      <c r="B7" s="20" t="s">
        <v>6</v>
      </c>
      <c r="C7" s="21">
        <v>200001</v>
      </c>
      <c r="D7" s="22">
        <v>41903</v>
      </c>
      <c r="O7" s="9">
        <v>41847</v>
      </c>
      <c r="P7" s="9">
        <v>41848</v>
      </c>
      <c r="Q7" s="9">
        <v>41849</v>
      </c>
      <c r="R7" s="9">
        <v>41850</v>
      </c>
      <c r="S7" s="9">
        <v>41851</v>
      </c>
      <c r="T7" s="9">
        <v>41852</v>
      </c>
      <c r="U7" s="9">
        <v>41853</v>
      </c>
    </row>
    <row r="8" spans="1:21" x14ac:dyDescent="0.15">
      <c r="A8" s="20" t="s">
        <v>5</v>
      </c>
      <c r="B8" s="20" t="s">
        <v>7</v>
      </c>
      <c r="C8" s="21">
        <v>200002</v>
      </c>
      <c r="D8" s="22">
        <v>41904</v>
      </c>
      <c r="O8" s="8"/>
      <c r="P8" s="6"/>
      <c r="Q8" s="6"/>
      <c r="R8" s="6"/>
      <c r="S8" s="6"/>
      <c r="T8" s="6"/>
      <c r="U8" s="6"/>
    </row>
    <row r="9" spans="1:21" x14ac:dyDescent="0.15">
      <c r="A9" s="19" t="str">
        <f t="shared" ref="A9" si="0">HYPERLINK("#DATE!A1","OP220-1")</f>
        <v>OP220-1</v>
      </c>
      <c r="B9" s="20" t="s">
        <v>15</v>
      </c>
      <c r="C9" s="21">
        <v>200003</v>
      </c>
      <c r="D9" s="22">
        <v>41905</v>
      </c>
      <c r="O9" s="8"/>
      <c r="P9" s="6"/>
      <c r="Q9" s="6"/>
      <c r="R9" s="6"/>
      <c r="S9" s="6"/>
      <c r="T9" s="6"/>
      <c r="U9" s="6"/>
    </row>
    <row r="10" spans="1:21" x14ac:dyDescent="0.15">
      <c r="A10" s="20" t="s">
        <v>16</v>
      </c>
      <c r="B10" s="20" t="s">
        <v>17</v>
      </c>
      <c r="C10" s="21">
        <v>200004</v>
      </c>
      <c r="D10" s="22">
        <v>41906</v>
      </c>
      <c r="O10" s="8"/>
      <c r="P10" s="6"/>
      <c r="Q10" s="6"/>
      <c r="R10" s="6"/>
      <c r="S10" s="6"/>
      <c r="T10" s="6"/>
      <c r="U10" s="6"/>
    </row>
    <row r="11" spans="1:21" x14ac:dyDescent="0.15">
      <c r="A11" s="20" t="s">
        <v>18</v>
      </c>
      <c r="B11" s="20" t="s">
        <v>19</v>
      </c>
      <c r="C11" s="21">
        <v>200005</v>
      </c>
      <c r="D11" s="22">
        <v>41907</v>
      </c>
      <c r="O11" s="8"/>
      <c r="P11" s="6"/>
      <c r="Q11" s="6"/>
      <c r="R11" s="6"/>
      <c r="S11" s="6"/>
      <c r="T11" s="6"/>
      <c r="U11" s="6"/>
    </row>
    <row r="12" spans="1:21" x14ac:dyDescent="0.15">
      <c r="A12" s="19" t="str">
        <f t="shared" ref="A12" si="1">HYPERLINK("#DATE!A1","OP220-1")</f>
        <v>OP220-1</v>
      </c>
      <c r="B12" s="20" t="s">
        <v>20</v>
      </c>
      <c r="C12" s="21">
        <v>200006</v>
      </c>
      <c r="D12" s="22">
        <v>41908</v>
      </c>
      <c r="O12" s="9">
        <v>41854</v>
      </c>
      <c r="P12" s="9">
        <v>41855</v>
      </c>
      <c r="Q12" s="9">
        <v>41856</v>
      </c>
      <c r="R12" s="9">
        <v>41857</v>
      </c>
      <c r="S12" s="9">
        <v>41858</v>
      </c>
      <c r="T12" s="9">
        <v>41859</v>
      </c>
      <c r="U12" s="9">
        <v>41860</v>
      </c>
    </row>
    <row r="13" spans="1:21" x14ac:dyDescent="0.15">
      <c r="A13" s="20" t="s">
        <v>21</v>
      </c>
      <c r="B13" s="20" t="s">
        <v>22</v>
      </c>
      <c r="C13" s="21">
        <v>200007</v>
      </c>
      <c r="D13" s="22">
        <v>41909</v>
      </c>
      <c r="O13" s="7"/>
      <c r="P13" s="7"/>
      <c r="Q13" s="7"/>
      <c r="R13" s="26" t="str">
        <f>HYPERLINK("#采购!A6","OP212")</f>
        <v>OP212</v>
      </c>
      <c r="S13" s="26" t="str">
        <f>HYPERLINK("#采购!A7","OP212")</f>
        <v>OP212</v>
      </c>
      <c r="T13" s="26" t="str">
        <f>HYPERLINK("#采购!A8","OP212")</f>
        <v>OP212</v>
      </c>
      <c r="U13" s="26" t="str">
        <f>HYPERLINK("#采购!A9","OP212")</f>
        <v>OP212</v>
      </c>
    </row>
    <row r="14" spans="1:21" x14ac:dyDescent="0.15">
      <c r="A14" s="20" t="s">
        <v>23</v>
      </c>
      <c r="B14" s="20" t="s">
        <v>24</v>
      </c>
      <c r="C14" s="21">
        <v>200008</v>
      </c>
      <c r="D14" s="22">
        <v>41910</v>
      </c>
      <c r="O14" s="7"/>
      <c r="P14" s="7"/>
      <c r="Q14" s="7"/>
      <c r="R14" s="7"/>
      <c r="S14" s="7"/>
      <c r="T14" s="7"/>
      <c r="U14" s="7"/>
    </row>
    <row r="15" spans="1:21" x14ac:dyDescent="0.15">
      <c r="A15" s="19" t="str">
        <f t="shared" ref="A15" si="2">HYPERLINK("#DATE!A1","OP220-1")</f>
        <v>OP220-1</v>
      </c>
      <c r="B15" s="20" t="s">
        <v>25</v>
      </c>
      <c r="C15" s="21">
        <v>200009</v>
      </c>
      <c r="D15" s="22">
        <v>41911</v>
      </c>
      <c r="O15" s="7"/>
      <c r="P15" s="7"/>
      <c r="Q15" s="7"/>
      <c r="R15" s="7"/>
      <c r="S15" s="7"/>
      <c r="T15" s="7"/>
      <c r="U15" s="7"/>
    </row>
    <row r="16" spans="1:21" x14ac:dyDescent="0.15">
      <c r="A16" s="20" t="s">
        <v>26</v>
      </c>
      <c r="B16" s="20" t="s">
        <v>27</v>
      </c>
      <c r="C16" s="21">
        <v>200010</v>
      </c>
      <c r="D16" s="22">
        <v>41912</v>
      </c>
      <c r="O16" s="9">
        <v>41861</v>
      </c>
      <c r="P16" s="9">
        <v>41862</v>
      </c>
      <c r="Q16" s="9">
        <v>41863</v>
      </c>
      <c r="R16" s="9">
        <v>41864</v>
      </c>
      <c r="S16" s="9">
        <v>41865</v>
      </c>
      <c r="T16" s="9">
        <v>41866</v>
      </c>
      <c r="U16" s="9">
        <v>41867</v>
      </c>
    </row>
    <row r="17" spans="1:21" x14ac:dyDescent="0.15">
      <c r="A17" s="20" t="s">
        <v>28</v>
      </c>
      <c r="B17" s="20" t="s">
        <v>29</v>
      </c>
      <c r="C17" s="21">
        <v>200011</v>
      </c>
      <c r="D17" s="22">
        <v>41913</v>
      </c>
      <c r="O17" s="8" t="str">
        <f>HYPERLINK("#采购!A10","OP212")</f>
        <v>OP212</v>
      </c>
      <c r="P17" s="8" t="str">
        <f>HYPERLINK("#采购!A11","OP212")</f>
        <v>OP212</v>
      </c>
      <c r="Q17" s="8" t="str">
        <f>HYPERLINK("#采购!A12","OP212")</f>
        <v>OP212</v>
      </c>
      <c r="R17" s="8" t="str">
        <f>HYPERLINK("#采购!A13","OP212")</f>
        <v>OP212</v>
      </c>
      <c r="S17" s="8" t="str">
        <f>HYPERLINK("#采购!A14","OP212")</f>
        <v>OP212</v>
      </c>
      <c r="T17" s="8" t="str">
        <f>HYPERLINK("#采购!A15","OP212")</f>
        <v>OP212</v>
      </c>
      <c r="U17" s="8" t="str">
        <f>HYPERLINK("#采购!A16","OP212")</f>
        <v>OP212</v>
      </c>
    </row>
    <row r="18" spans="1:21" x14ac:dyDescent="0.15">
      <c r="A18" s="19" t="str">
        <f t="shared" ref="A18" si="3">HYPERLINK("#DATE!A1","OP220-1")</f>
        <v>OP220-1</v>
      </c>
      <c r="B18" s="20" t="s">
        <v>30</v>
      </c>
      <c r="C18" s="21">
        <v>200012</v>
      </c>
      <c r="D18" s="22">
        <v>41914</v>
      </c>
      <c r="O18" s="6"/>
      <c r="P18" s="6"/>
      <c r="Q18" s="6"/>
      <c r="R18" s="6"/>
      <c r="S18" s="6"/>
      <c r="T18" s="6"/>
      <c r="U18" s="6"/>
    </row>
    <row r="19" spans="1:21" x14ac:dyDescent="0.15">
      <c r="A19" s="20" t="s">
        <v>31</v>
      </c>
      <c r="B19" s="20" t="s">
        <v>32</v>
      </c>
      <c r="C19" s="21">
        <v>200013</v>
      </c>
      <c r="D19" s="22">
        <v>41915</v>
      </c>
      <c r="O19" s="6"/>
      <c r="P19" s="6"/>
      <c r="Q19" s="6"/>
      <c r="R19" s="6"/>
      <c r="S19" s="6"/>
      <c r="T19" s="6"/>
      <c r="U19" s="6"/>
    </row>
    <row r="20" spans="1:21" x14ac:dyDescent="0.15">
      <c r="A20" s="20" t="s">
        <v>33</v>
      </c>
      <c r="B20" s="20" t="s">
        <v>34</v>
      </c>
      <c r="C20" s="21">
        <v>200014</v>
      </c>
      <c r="D20" s="22">
        <v>41916</v>
      </c>
      <c r="O20" s="9">
        <v>41868</v>
      </c>
      <c r="P20" s="9">
        <v>41869</v>
      </c>
      <c r="Q20" s="9">
        <v>41870</v>
      </c>
      <c r="R20" s="9">
        <v>41871</v>
      </c>
      <c r="S20" s="9">
        <v>41872</v>
      </c>
      <c r="T20" s="9">
        <v>41873</v>
      </c>
      <c r="U20" s="9">
        <v>41874</v>
      </c>
    </row>
    <row r="21" spans="1:21" x14ac:dyDescent="0.15">
      <c r="A21" s="19" t="str">
        <f t="shared" ref="A21" si="4">HYPERLINK("#DATE!A1","OP220-1")</f>
        <v>OP220-1</v>
      </c>
      <c r="B21" s="20" t="s">
        <v>35</v>
      </c>
      <c r="C21" s="21">
        <v>200015</v>
      </c>
      <c r="D21" s="22">
        <v>41917</v>
      </c>
      <c r="O21" s="8" t="str">
        <f>HYPERLINK("#采购!A17","OP212")</f>
        <v>OP212</v>
      </c>
      <c r="P21" s="8" t="str">
        <f>HYPERLINK("#采购!A18","OP212")</f>
        <v>OP212</v>
      </c>
      <c r="Q21" s="8" t="str">
        <f>HYPERLINK("#采购!A19","OP212")</f>
        <v>OP212</v>
      </c>
      <c r="R21" s="8" t="str">
        <f>HYPERLINK("#采购!A20","OP212")</f>
        <v>OP212</v>
      </c>
      <c r="S21" s="8" t="str">
        <f>HYPERLINK("#采购!A21","OP212")</f>
        <v>OP212</v>
      </c>
      <c r="T21" s="8" t="str">
        <f>HYPERLINK("#采购!A22","OP212")</f>
        <v>OP212</v>
      </c>
      <c r="U21" s="8" t="str">
        <f>HYPERLINK("#采购!A23","OP212")</f>
        <v>OP212</v>
      </c>
    </row>
    <row r="22" spans="1:21" x14ac:dyDescent="0.15">
      <c r="A22" s="20" t="s">
        <v>36</v>
      </c>
      <c r="B22" s="20" t="s">
        <v>37</v>
      </c>
      <c r="C22" s="21">
        <v>200016</v>
      </c>
      <c r="D22" s="22">
        <v>41918</v>
      </c>
      <c r="O22" s="6"/>
      <c r="P22" s="6"/>
      <c r="Q22" s="6"/>
      <c r="R22" s="6"/>
      <c r="S22" s="6"/>
      <c r="T22" s="6"/>
      <c r="U22" s="6"/>
    </row>
    <row r="23" spans="1:21" x14ac:dyDescent="0.15">
      <c r="A23" s="20" t="s">
        <v>38</v>
      </c>
      <c r="B23" s="20" t="s">
        <v>39</v>
      </c>
      <c r="C23" s="21">
        <v>200017</v>
      </c>
      <c r="D23" s="22">
        <v>41919</v>
      </c>
      <c r="O23" s="6"/>
      <c r="P23" s="6"/>
      <c r="Q23" s="6"/>
      <c r="R23" s="6"/>
      <c r="S23" s="6"/>
      <c r="T23" s="6"/>
      <c r="U23" s="6"/>
    </row>
    <row r="24" spans="1:21" x14ac:dyDescent="0.15">
      <c r="A24" s="19" t="str">
        <f t="shared" ref="A24" si="5">HYPERLINK("#DATE!A1","OP220-1")</f>
        <v>OP220-1</v>
      </c>
      <c r="B24" s="20" t="s">
        <v>40</v>
      </c>
      <c r="C24" s="21">
        <v>200018</v>
      </c>
      <c r="D24" s="22">
        <v>41920</v>
      </c>
      <c r="O24" s="24">
        <v>41882</v>
      </c>
      <c r="P24" s="24"/>
      <c r="Q24" s="24"/>
      <c r="R24" s="24"/>
      <c r="S24" s="24"/>
      <c r="T24" s="24"/>
      <c r="U24" s="24"/>
    </row>
    <row r="25" spans="1:21" x14ac:dyDescent="0.15">
      <c r="A25" s="20" t="s">
        <v>41</v>
      </c>
      <c r="B25" s="20" t="s">
        <v>42</v>
      </c>
      <c r="C25" s="21">
        <v>200019</v>
      </c>
      <c r="D25" s="22">
        <v>41921</v>
      </c>
      <c r="O25" s="8" t="str">
        <f>HYPERLINK("#采购!A24","OP212")</f>
        <v>OP212</v>
      </c>
      <c r="P25" s="6"/>
      <c r="Q25" s="6"/>
      <c r="R25" s="6"/>
      <c r="S25" s="6"/>
      <c r="T25" s="6"/>
      <c r="U25" s="6"/>
    </row>
    <row r="26" spans="1:21" x14ac:dyDescent="0.15">
      <c r="A26" s="20" t="s">
        <v>43</v>
      </c>
      <c r="B26" s="20" t="s">
        <v>44</v>
      </c>
      <c r="C26" s="21">
        <v>200020</v>
      </c>
      <c r="D26" s="22">
        <v>41922</v>
      </c>
      <c r="O26" s="6"/>
      <c r="P26" s="6"/>
      <c r="Q26" s="6"/>
      <c r="R26" s="6"/>
      <c r="S26" s="6"/>
      <c r="T26" s="6"/>
      <c r="U26" s="6"/>
    </row>
    <row r="27" spans="1:21" x14ac:dyDescent="0.15">
      <c r="A27" s="19" t="str">
        <f t="shared" ref="A27" si="6">HYPERLINK("#DATE!A1","OP220-1")</f>
        <v>OP220-1</v>
      </c>
      <c r="B27" s="20" t="s">
        <v>45</v>
      </c>
      <c r="C27" s="21">
        <v>200021</v>
      </c>
      <c r="D27" s="22">
        <v>41923</v>
      </c>
      <c r="O27" s="6"/>
      <c r="P27" s="6"/>
      <c r="Q27" s="6"/>
      <c r="R27" s="14"/>
      <c r="S27" s="14"/>
      <c r="T27" s="14"/>
      <c r="U27" s="14"/>
    </row>
    <row r="28" spans="1:21" ht="20.25" customHeight="1" x14ac:dyDescent="0.15">
      <c r="A28" s="20" t="s">
        <v>46</v>
      </c>
      <c r="B28" s="20" t="s">
        <v>47</v>
      </c>
      <c r="C28" s="21">
        <v>200022</v>
      </c>
      <c r="D28" s="22">
        <v>41924</v>
      </c>
      <c r="O28" s="29" t="s">
        <v>319</v>
      </c>
      <c r="P28" s="30"/>
      <c r="Q28" s="30"/>
      <c r="R28" s="30"/>
      <c r="S28" s="30"/>
      <c r="T28" s="30"/>
      <c r="U28" s="30"/>
    </row>
    <row r="29" spans="1:21" x14ac:dyDescent="0.15">
      <c r="A29" s="20" t="s">
        <v>48</v>
      </c>
      <c r="B29" s="20" t="s">
        <v>49</v>
      </c>
      <c r="C29" s="21">
        <v>200023</v>
      </c>
      <c r="D29" s="22">
        <v>41925</v>
      </c>
      <c r="O29" s="5" t="s">
        <v>14</v>
      </c>
      <c r="P29" s="5" t="s">
        <v>8</v>
      </c>
      <c r="Q29" s="5" t="s">
        <v>9</v>
      </c>
      <c r="R29" s="5" t="s">
        <v>10</v>
      </c>
      <c r="S29" s="5" t="s">
        <v>11</v>
      </c>
      <c r="T29" s="5" t="s">
        <v>12</v>
      </c>
      <c r="U29" s="5" t="s">
        <v>13</v>
      </c>
    </row>
    <row r="30" spans="1:21" x14ac:dyDescent="0.15">
      <c r="A30" s="19" t="str">
        <f t="shared" ref="A30" si="7">HYPERLINK("#DATE!A1","OP220-1")</f>
        <v>OP220-1</v>
      </c>
      <c r="B30" s="20" t="s">
        <v>50</v>
      </c>
      <c r="C30" s="21">
        <v>200024</v>
      </c>
      <c r="D30" s="22">
        <v>41926</v>
      </c>
      <c r="O30" s="9"/>
      <c r="P30" s="9">
        <v>41883</v>
      </c>
      <c r="Q30" s="9">
        <v>41884</v>
      </c>
      <c r="R30" s="9">
        <v>41885</v>
      </c>
      <c r="S30" s="9">
        <v>41886</v>
      </c>
      <c r="T30" s="9">
        <v>41887</v>
      </c>
      <c r="U30" s="9">
        <v>41888</v>
      </c>
    </row>
    <row r="31" spans="1:21" x14ac:dyDescent="0.15">
      <c r="A31" s="20" t="s">
        <v>51</v>
      </c>
      <c r="B31" s="20" t="s">
        <v>52</v>
      </c>
      <c r="C31" s="21">
        <v>200025</v>
      </c>
      <c r="D31" s="22">
        <v>41927</v>
      </c>
      <c r="O31" s="6"/>
      <c r="P31" s="8" t="str">
        <f>HYPERLINK("#采购!A25","OP212")</f>
        <v>OP212</v>
      </c>
      <c r="Q31" s="8" t="str">
        <f>HYPERLINK("#采购!A26","OP212")</f>
        <v>OP212</v>
      </c>
      <c r="R31" s="8" t="str">
        <f>HYPERLINK("#采购!A27","OP212")</f>
        <v>OP212</v>
      </c>
      <c r="S31" s="8" t="str">
        <f>HYPERLINK("#采购!A28","OP212")</f>
        <v>OP212</v>
      </c>
      <c r="T31" s="8" t="str">
        <f>HYPERLINK("#采购!A29","OP212")</f>
        <v>OP212</v>
      </c>
      <c r="U31" s="8" t="str">
        <f>HYPERLINK("#采购!A30","OP212")</f>
        <v>OP212</v>
      </c>
    </row>
    <row r="32" spans="1:21" x14ac:dyDescent="0.15">
      <c r="A32" s="20" t="s">
        <v>53</v>
      </c>
      <c r="B32" s="20" t="s">
        <v>54</v>
      </c>
      <c r="C32" s="21">
        <v>200026</v>
      </c>
      <c r="D32" s="22">
        <v>41928</v>
      </c>
      <c r="O32" s="6"/>
      <c r="P32" s="6"/>
      <c r="Q32" s="6"/>
      <c r="R32" s="6"/>
      <c r="S32" s="6"/>
      <c r="T32" s="6"/>
      <c r="U32" s="6"/>
    </row>
    <row r="33" spans="1:21" x14ac:dyDescent="0.15">
      <c r="A33" s="19" t="str">
        <f t="shared" ref="A33" si="8">HYPERLINK("#DATE!A1","OP220-1")</f>
        <v>OP220-1</v>
      </c>
      <c r="B33" s="20" t="s">
        <v>55</v>
      </c>
      <c r="C33" s="21">
        <v>200027</v>
      </c>
      <c r="D33" s="22">
        <v>41929</v>
      </c>
      <c r="O33" s="6"/>
      <c r="P33" s="6"/>
      <c r="Q33" s="6"/>
      <c r="R33" s="6"/>
      <c r="S33" s="6"/>
      <c r="T33" s="6"/>
      <c r="U33" s="6"/>
    </row>
    <row r="34" spans="1:21" x14ac:dyDescent="0.15">
      <c r="A34" s="20" t="s">
        <v>56</v>
      </c>
      <c r="B34" s="20" t="s">
        <v>57</v>
      </c>
      <c r="C34" s="21">
        <v>200028</v>
      </c>
      <c r="D34" s="22">
        <v>41930</v>
      </c>
      <c r="O34" s="9">
        <v>41889</v>
      </c>
      <c r="P34" s="9">
        <v>41890</v>
      </c>
      <c r="Q34" s="9">
        <v>41891</v>
      </c>
      <c r="R34" s="9">
        <v>41892</v>
      </c>
      <c r="S34" s="9">
        <v>41893</v>
      </c>
      <c r="T34" s="9">
        <v>41894</v>
      </c>
      <c r="U34" s="9">
        <v>41895</v>
      </c>
    </row>
    <row r="35" spans="1:21" x14ac:dyDescent="0.15">
      <c r="A35" s="20" t="s">
        <v>58</v>
      </c>
      <c r="B35" s="20" t="s">
        <v>59</v>
      </c>
      <c r="C35" s="21">
        <v>200029</v>
      </c>
      <c r="D35" s="22">
        <v>41931</v>
      </c>
      <c r="O35" s="8" t="str">
        <f>HYPERLINK("#采购!A31","OP212")</f>
        <v>OP212</v>
      </c>
      <c r="P35" s="8" t="str">
        <f>HYPERLINK("#采购!A32","OP212")</f>
        <v>OP212</v>
      </c>
      <c r="Q35" s="8" t="str">
        <f>HYPERLINK("#采购!A33","OP212")</f>
        <v>OP212</v>
      </c>
      <c r="R35" s="8" t="str">
        <f>HYPERLINK("#采购!A34","OP212")</f>
        <v>OP212</v>
      </c>
      <c r="S35" s="8" t="str">
        <f>HYPERLINK("#采购!A35","OP212")</f>
        <v>OP212</v>
      </c>
      <c r="T35" s="8" t="str">
        <f>HYPERLINK("#采购!A36","OP212")</f>
        <v>OP212</v>
      </c>
      <c r="U35" s="8" t="str">
        <f>HYPERLINK("#采购!A37","OP212")</f>
        <v>OP212</v>
      </c>
    </row>
    <row r="36" spans="1:21" x14ac:dyDescent="0.15">
      <c r="A36" s="19" t="str">
        <f t="shared" ref="A36" si="9">HYPERLINK("#DATE!A1","OP220-1")</f>
        <v>OP220-1</v>
      </c>
      <c r="B36" s="20" t="s">
        <v>60</v>
      </c>
      <c r="C36" s="21">
        <v>200030</v>
      </c>
      <c r="D36" s="22">
        <v>41932</v>
      </c>
      <c r="O36" s="6"/>
      <c r="P36" s="6"/>
      <c r="Q36" s="6"/>
      <c r="R36" s="6"/>
      <c r="S36" s="6"/>
      <c r="T36" s="6"/>
      <c r="U36" s="6"/>
    </row>
    <row r="37" spans="1:21" x14ac:dyDescent="0.15">
      <c r="A37" s="20" t="s">
        <v>61</v>
      </c>
      <c r="B37" s="20" t="s">
        <v>62</v>
      </c>
      <c r="C37" s="21">
        <v>200031</v>
      </c>
      <c r="D37" s="22">
        <v>41933</v>
      </c>
      <c r="O37" s="6"/>
      <c r="P37" s="6"/>
      <c r="Q37" s="6"/>
      <c r="R37" s="6"/>
      <c r="S37" s="6"/>
      <c r="T37" s="6"/>
      <c r="U37" s="6"/>
    </row>
    <row r="38" spans="1:21" x14ac:dyDescent="0.15">
      <c r="A38" s="20" t="s">
        <v>63</v>
      </c>
      <c r="B38" s="20" t="s">
        <v>64</v>
      </c>
      <c r="C38" s="21">
        <v>200032</v>
      </c>
      <c r="D38" s="22">
        <v>41934</v>
      </c>
      <c r="O38" s="9">
        <v>41896</v>
      </c>
      <c r="P38" s="9">
        <v>41897</v>
      </c>
      <c r="Q38" s="9">
        <v>41898</v>
      </c>
      <c r="R38" s="9">
        <v>41899</v>
      </c>
      <c r="S38" s="9">
        <v>41900</v>
      </c>
      <c r="T38" s="9">
        <v>41901</v>
      </c>
      <c r="U38" s="9">
        <v>41902</v>
      </c>
    </row>
    <row r="39" spans="1:21" x14ac:dyDescent="0.15">
      <c r="A39" s="19" t="str">
        <f t="shared" ref="A39" si="10">HYPERLINK("#DATE!A1","OP220-1")</f>
        <v>OP220-1</v>
      </c>
      <c r="B39" s="20" t="s">
        <v>65</v>
      </c>
      <c r="C39" s="21">
        <v>200033</v>
      </c>
      <c r="D39" s="22">
        <v>41935</v>
      </c>
      <c r="O39" s="8">
        <f>HYPERLINK("#采购!A38",)</f>
        <v>0</v>
      </c>
      <c r="P39" s="8">
        <f>HYPERLINK("#采购!A39",)</f>
        <v>0</v>
      </c>
      <c r="Q39" s="8">
        <f>HYPERLINK("#采购!A40",)</f>
        <v>0</v>
      </c>
      <c r="R39" s="8">
        <f>HYPERLINK("#采购!A41",)</f>
        <v>0</v>
      </c>
      <c r="S39" s="8">
        <f>HYPERLINK("#采购!A42",)</f>
        <v>0</v>
      </c>
      <c r="T39" s="8">
        <f>HYPERLINK("#采购!A43",)</f>
        <v>0</v>
      </c>
      <c r="U39" s="8">
        <f>HYPERLINK("#采购!A44",)</f>
        <v>0</v>
      </c>
    </row>
    <row r="40" spans="1:21" x14ac:dyDescent="0.15">
      <c r="A40" s="20" t="s">
        <v>66</v>
      </c>
      <c r="B40" s="20" t="s">
        <v>67</v>
      </c>
      <c r="C40" s="21">
        <v>200034</v>
      </c>
      <c r="D40" s="22">
        <v>41936</v>
      </c>
      <c r="O40" s="6"/>
      <c r="P40" s="6"/>
      <c r="Q40" s="6"/>
      <c r="R40" s="6"/>
      <c r="S40" s="6"/>
      <c r="T40" s="6"/>
      <c r="U40" s="6"/>
    </row>
    <row r="41" spans="1:21" x14ac:dyDescent="0.15">
      <c r="A41" s="20" t="s">
        <v>68</v>
      </c>
      <c r="B41" s="20" t="s">
        <v>69</v>
      </c>
      <c r="C41" s="21">
        <v>200035</v>
      </c>
      <c r="D41" s="22">
        <v>41937</v>
      </c>
      <c r="O41" s="6"/>
      <c r="P41" s="6"/>
      <c r="Q41" s="6"/>
      <c r="R41" s="6"/>
      <c r="S41" s="6"/>
      <c r="T41" s="6"/>
      <c r="U41" s="6"/>
    </row>
    <row r="42" spans="1:21" x14ac:dyDescent="0.15">
      <c r="A42" s="19" t="str">
        <f t="shared" ref="A42" si="11">HYPERLINK("#DATE!A1","OP220-1")</f>
        <v>OP220-1</v>
      </c>
      <c r="B42" s="20" t="s">
        <v>70</v>
      </c>
      <c r="C42" s="21">
        <v>200036</v>
      </c>
      <c r="D42" s="22">
        <v>41938</v>
      </c>
      <c r="O42" s="9">
        <v>41903</v>
      </c>
      <c r="P42" s="9">
        <v>41904</v>
      </c>
      <c r="Q42" s="9">
        <v>41905</v>
      </c>
      <c r="R42" s="9">
        <v>41906</v>
      </c>
      <c r="S42" s="9">
        <v>41907</v>
      </c>
      <c r="T42" s="9">
        <v>41908</v>
      </c>
      <c r="U42" s="9">
        <v>41909</v>
      </c>
    </row>
    <row r="43" spans="1:21" x14ac:dyDescent="0.15">
      <c r="A43" s="20" t="s">
        <v>71</v>
      </c>
      <c r="B43" s="20" t="s">
        <v>72</v>
      </c>
      <c r="C43" s="21">
        <v>200037</v>
      </c>
      <c r="D43" s="22">
        <v>41939</v>
      </c>
      <c r="O43" s="8">
        <f>HYPERLINK("#采购!A45",)</f>
        <v>0</v>
      </c>
      <c r="P43" s="8">
        <f>HYPERLINK("#采购!A46",)</f>
        <v>0</v>
      </c>
      <c r="Q43" s="8">
        <f>HYPERLINK("#采购!A47",)</f>
        <v>0</v>
      </c>
      <c r="R43" s="8">
        <f>HYPERLINK("#采购!A48",)</f>
        <v>0</v>
      </c>
      <c r="S43" s="8">
        <f>HYPERLINK("#采购!A49",)</f>
        <v>0</v>
      </c>
      <c r="T43" s="8">
        <f>HYPERLINK("#采购!A50",)</f>
        <v>0</v>
      </c>
      <c r="U43" s="8">
        <f>HYPERLINK("#采购!A51",)</f>
        <v>0</v>
      </c>
    </row>
    <row r="44" spans="1:21" x14ac:dyDescent="0.15">
      <c r="A44" s="20" t="s">
        <v>73</v>
      </c>
      <c r="B44" s="20" t="s">
        <v>74</v>
      </c>
      <c r="C44" s="21">
        <v>200038</v>
      </c>
      <c r="D44" s="22">
        <v>41940</v>
      </c>
      <c r="O44" s="6"/>
      <c r="P44" s="6"/>
      <c r="Q44" s="6"/>
      <c r="R44" s="6"/>
      <c r="S44" s="6"/>
      <c r="T44" s="6"/>
      <c r="U44" s="6"/>
    </row>
    <row r="45" spans="1:21" x14ac:dyDescent="0.15">
      <c r="A45" s="19" t="str">
        <f t="shared" ref="A45" si="12">HYPERLINK("#DATE!A1","OP220-1")</f>
        <v>OP220-1</v>
      </c>
      <c r="B45" s="20" t="s">
        <v>75</v>
      </c>
      <c r="C45" s="21">
        <v>200039</v>
      </c>
      <c r="D45" s="22">
        <v>41941</v>
      </c>
      <c r="O45" s="6"/>
      <c r="P45" s="6"/>
      <c r="Q45" s="6"/>
      <c r="R45" s="6"/>
      <c r="S45" s="6"/>
      <c r="T45" s="6"/>
      <c r="U45" s="6"/>
    </row>
    <row r="46" spans="1:21" x14ac:dyDescent="0.15">
      <c r="A46" s="20" t="s">
        <v>76</v>
      </c>
      <c r="B46" s="20" t="s">
        <v>77</v>
      </c>
      <c r="C46" s="21">
        <v>200040</v>
      </c>
      <c r="D46" s="22">
        <v>41942</v>
      </c>
      <c r="O46" s="9">
        <v>41910</v>
      </c>
      <c r="P46" s="9">
        <v>41911</v>
      </c>
      <c r="Q46" s="9">
        <v>41912</v>
      </c>
      <c r="R46" s="9"/>
      <c r="S46" s="9"/>
      <c r="T46" s="9"/>
      <c r="U46" s="9"/>
    </row>
    <row r="47" spans="1:21" x14ac:dyDescent="0.15">
      <c r="A47" s="20" t="s">
        <v>78</v>
      </c>
      <c r="B47" s="20" t="s">
        <v>79</v>
      </c>
      <c r="C47" s="21">
        <v>200041</v>
      </c>
      <c r="D47" s="22">
        <v>41943</v>
      </c>
      <c r="O47" s="8">
        <f>HYPERLINK("#采购!A52",)</f>
        <v>0</v>
      </c>
      <c r="P47" s="8">
        <f>HYPERLINK("#采购!A53",)</f>
        <v>0</v>
      </c>
      <c r="Q47" s="8">
        <f>HYPERLINK("#采购!A54",)</f>
        <v>0</v>
      </c>
      <c r="R47" s="6"/>
      <c r="S47" s="6"/>
      <c r="T47" s="6"/>
      <c r="U47" s="6"/>
    </row>
    <row r="48" spans="1:21" x14ac:dyDescent="0.15">
      <c r="A48" s="19" t="str">
        <f t="shared" ref="A48" si="13">HYPERLINK("#DATE!A1","OP220-1")</f>
        <v>OP220-1</v>
      </c>
      <c r="B48" s="20" t="s">
        <v>80</v>
      </c>
      <c r="C48" s="21">
        <v>200042</v>
      </c>
      <c r="D48" s="22">
        <v>41944</v>
      </c>
      <c r="O48" s="6"/>
      <c r="P48" s="6"/>
      <c r="Q48" s="6"/>
      <c r="R48" s="6"/>
      <c r="S48" s="6"/>
      <c r="T48" s="6"/>
      <c r="U48" s="6"/>
    </row>
    <row r="49" spans="1:21" x14ac:dyDescent="0.15">
      <c r="A49" s="20" t="s">
        <v>81</v>
      </c>
      <c r="B49" s="20" t="s">
        <v>82</v>
      </c>
      <c r="C49" s="21">
        <v>200043</v>
      </c>
      <c r="D49" s="22">
        <v>41945</v>
      </c>
      <c r="O49" s="6"/>
      <c r="P49" s="6"/>
      <c r="Q49" s="6"/>
      <c r="R49" s="6"/>
      <c r="S49" s="6"/>
      <c r="T49" s="6"/>
      <c r="U49" s="6"/>
    </row>
    <row r="50" spans="1:21" x14ac:dyDescent="0.15">
      <c r="A50" s="20" t="s">
        <v>83</v>
      </c>
      <c r="B50" s="20" t="s">
        <v>84</v>
      </c>
      <c r="C50" s="21">
        <v>200044</v>
      </c>
      <c r="D50" s="22">
        <v>41946</v>
      </c>
    </row>
    <row r="51" spans="1:21" x14ac:dyDescent="0.15">
      <c r="A51" s="19" t="str">
        <f t="shared" ref="A51" si="14">HYPERLINK("#DATE!A1","OP220-1")</f>
        <v>OP220-1</v>
      </c>
      <c r="B51" s="20" t="s">
        <v>85</v>
      </c>
      <c r="C51" s="21">
        <v>200045</v>
      </c>
      <c r="D51" s="22">
        <v>41947</v>
      </c>
    </row>
    <row r="52" spans="1:21" x14ac:dyDescent="0.15">
      <c r="A52" s="20" t="s">
        <v>86</v>
      </c>
      <c r="B52" s="20" t="s">
        <v>87</v>
      </c>
      <c r="C52" s="21">
        <v>200046</v>
      </c>
      <c r="D52" s="22">
        <v>41948</v>
      </c>
    </row>
    <row r="53" spans="1:21" x14ac:dyDescent="0.15">
      <c r="A53" s="20" t="s">
        <v>88</v>
      </c>
      <c r="B53" s="20" t="s">
        <v>89</v>
      </c>
      <c r="C53" s="21">
        <v>200047</v>
      </c>
      <c r="D53" s="22">
        <v>41949</v>
      </c>
    </row>
    <row r="54" spans="1:21" x14ac:dyDescent="0.15">
      <c r="A54" s="19" t="str">
        <f t="shared" ref="A54" si="15">HYPERLINK("#DATE!A1","OP220-1")</f>
        <v>OP220-1</v>
      </c>
      <c r="B54" s="20" t="s">
        <v>90</v>
      </c>
      <c r="C54" s="21">
        <v>200048</v>
      </c>
      <c r="D54" s="22">
        <v>41950</v>
      </c>
    </row>
    <row r="55" spans="1:21" x14ac:dyDescent="0.15">
      <c r="A55" s="20" t="s">
        <v>91</v>
      </c>
      <c r="B55" s="20" t="s">
        <v>92</v>
      </c>
      <c r="C55" s="21">
        <v>200049</v>
      </c>
      <c r="D55" s="22">
        <v>41951</v>
      </c>
    </row>
    <row r="56" spans="1:21" x14ac:dyDescent="0.15">
      <c r="A56" s="20" t="s">
        <v>93</v>
      </c>
      <c r="B56" s="20" t="s">
        <v>94</v>
      </c>
      <c r="C56" s="21">
        <v>200050</v>
      </c>
      <c r="D56" s="22">
        <v>41952</v>
      </c>
    </row>
    <row r="57" spans="1:21" x14ac:dyDescent="0.15">
      <c r="A57" s="19" t="str">
        <f t="shared" ref="A57" si="16">HYPERLINK("#DATE!A1","OP220-1")</f>
        <v>OP220-1</v>
      </c>
      <c r="B57" s="20" t="s">
        <v>95</v>
      </c>
      <c r="C57" s="21">
        <v>200051</v>
      </c>
      <c r="D57" s="22">
        <v>41953</v>
      </c>
    </row>
    <row r="58" spans="1:21" x14ac:dyDescent="0.15">
      <c r="A58" s="20" t="s">
        <v>96</v>
      </c>
      <c r="B58" s="20" t="s">
        <v>97</v>
      </c>
      <c r="C58" s="21">
        <v>200052</v>
      </c>
      <c r="D58" s="22">
        <v>41954</v>
      </c>
    </row>
    <row r="59" spans="1:21" x14ac:dyDescent="0.15">
      <c r="A59" s="20" t="s">
        <v>98</v>
      </c>
      <c r="B59" s="20" t="s">
        <v>99</v>
      </c>
      <c r="C59" s="21">
        <v>200053</v>
      </c>
      <c r="D59" s="22">
        <v>41955</v>
      </c>
    </row>
    <row r="60" spans="1:21" x14ac:dyDescent="0.15">
      <c r="A60" s="19" t="str">
        <f t="shared" ref="A60" si="17">HYPERLINK("#DATE!A1","OP220-1")</f>
        <v>OP220-1</v>
      </c>
      <c r="B60" s="20" t="s">
        <v>100</v>
      </c>
      <c r="C60" s="21">
        <v>200054</v>
      </c>
      <c r="D60" s="22">
        <v>41956</v>
      </c>
    </row>
    <row r="61" spans="1:21" x14ac:dyDescent="0.15">
      <c r="A61" s="20" t="s">
        <v>101</v>
      </c>
      <c r="B61" s="20" t="s">
        <v>102</v>
      </c>
      <c r="C61" s="21">
        <v>200055</v>
      </c>
      <c r="D61" s="22">
        <v>41957</v>
      </c>
    </row>
    <row r="62" spans="1:21" x14ac:dyDescent="0.15">
      <c r="A62" s="20" t="s">
        <v>103</v>
      </c>
      <c r="B62" s="20" t="s">
        <v>104</v>
      </c>
      <c r="C62" s="21">
        <v>200056</v>
      </c>
      <c r="D62" s="22">
        <v>41958</v>
      </c>
    </row>
    <row r="63" spans="1:21" x14ac:dyDescent="0.15">
      <c r="A63" s="19" t="str">
        <f t="shared" ref="A63" si="18">HYPERLINK("#DATE!A1","OP220-1")</f>
        <v>OP220-1</v>
      </c>
      <c r="B63" s="20" t="s">
        <v>105</v>
      </c>
      <c r="C63" s="21">
        <v>200057</v>
      </c>
      <c r="D63" s="22">
        <v>41959</v>
      </c>
    </row>
    <row r="64" spans="1:21" x14ac:dyDescent="0.15">
      <c r="A64" s="20" t="s">
        <v>106</v>
      </c>
      <c r="B64" s="20" t="s">
        <v>107</v>
      </c>
      <c r="C64" s="21">
        <v>200058</v>
      </c>
      <c r="D64" s="22">
        <v>41960</v>
      </c>
    </row>
    <row r="65" spans="1:4" x14ac:dyDescent="0.15">
      <c r="A65" s="20" t="s">
        <v>108</v>
      </c>
      <c r="B65" s="20" t="s">
        <v>109</v>
      </c>
      <c r="C65" s="21">
        <v>200059</v>
      </c>
      <c r="D65" s="22">
        <v>41961</v>
      </c>
    </row>
    <row r="66" spans="1:4" x14ac:dyDescent="0.15">
      <c r="A66" s="19" t="str">
        <f t="shared" ref="A66" si="19">HYPERLINK("#DATE!A1","OP220-1")</f>
        <v>OP220-1</v>
      </c>
      <c r="B66" s="20" t="s">
        <v>110</v>
      </c>
      <c r="C66" s="21">
        <v>200060</v>
      </c>
      <c r="D66" s="22">
        <v>41962</v>
      </c>
    </row>
    <row r="67" spans="1:4" x14ac:dyDescent="0.15">
      <c r="A67" s="20" t="s">
        <v>111</v>
      </c>
      <c r="B67" s="20" t="s">
        <v>112</v>
      </c>
      <c r="C67" s="21">
        <v>200061</v>
      </c>
      <c r="D67" s="22">
        <v>41963</v>
      </c>
    </row>
    <row r="68" spans="1:4" x14ac:dyDescent="0.15">
      <c r="A68" s="20" t="s">
        <v>113</v>
      </c>
      <c r="B68" s="20" t="s">
        <v>114</v>
      </c>
      <c r="C68" s="21">
        <v>200062</v>
      </c>
      <c r="D68" s="22">
        <v>41964</v>
      </c>
    </row>
    <row r="69" spans="1:4" x14ac:dyDescent="0.15">
      <c r="A69" s="19" t="str">
        <f t="shared" ref="A69" si="20">HYPERLINK("#DATE!A1","OP220-1")</f>
        <v>OP220-1</v>
      </c>
      <c r="B69" s="20" t="s">
        <v>115</v>
      </c>
      <c r="C69" s="21">
        <v>200063</v>
      </c>
      <c r="D69" s="22">
        <v>41965</v>
      </c>
    </row>
    <row r="70" spans="1:4" x14ac:dyDescent="0.15">
      <c r="A70" s="20" t="s">
        <v>116</v>
      </c>
      <c r="B70" s="20" t="s">
        <v>117</v>
      </c>
      <c r="C70" s="21">
        <v>200064</v>
      </c>
      <c r="D70" s="22">
        <v>41966</v>
      </c>
    </row>
    <row r="71" spans="1:4" x14ac:dyDescent="0.15">
      <c r="A71" s="20" t="s">
        <v>118</v>
      </c>
      <c r="B71" s="20" t="s">
        <v>119</v>
      </c>
      <c r="C71" s="21">
        <v>200065</v>
      </c>
      <c r="D71" s="22">
        <v>41967</v>
      </c>
    </row>
    <row r="72" spans="1:4" x14ac:dyDescent="0.15">
      <c r="A72" s="19" t="str">
        <f t="shared" ref="A72" si="21">HYPERLINK("#DATE!A1","OP220-1")</f>
        <v>OP220-1</v>
      </c>
      <c r="B72" s="20" t="s">
        <v>120</v>
      </c>
      <c r="C72" s="21">
        <v>200066</v>
      </c>
      <c r="D72" s="22">
        <v>41968</v>
      </c>
    </row>
    <row r="73" spans="1:4" x14ac:dyDescent="0.15">
      <c r="A73" s="20" t="s">
        <v>121</v>
      </c>
      <c r="B73" s="20" t="s">
        <v>122</v>
      </c>
      <c r="C73" s="21">
        <v>200067</v>
      </c>
      <c r="D73" s="22">
        <v>41969</v>
      </c>
    </row>
    <row r="74" spans="1:4" x14ac:dyDescent="0.15">
      <c r="A74" s="20" t="s">
        <v>123</v>
      </c>
      <c r="B74" s="20" t="s">
        <v>124</v>
      </c>
      <c r="C74" s="21">
        <v>200068</v>
      </c>
      <c r="D74" s="22">
        <v>41970</v>
      </c>
    </row>
    <row r="75" spans="1:4" x14ac:dyDescent="0.15">
      <c r="A75" s="19" t="str">
        <f t="shared" ref="A75" si="22">HYPERLINK("#DATE!A1","OP220-1")</f>
        <v>OP220-1</v>
      </c>
      <c r="B75" s="20" t="s">
        <v>125</v>
      </c>
      <c r="C75" s="21">
        <v>200069</v>
      </c>
      <c r="D75" s="22">
        <v>41971</v>
      </c>
    </row>
    <row r="76" spans="1:4" x14ac:dyDescent="0.15">
      <c r="A76" s="20" t="s">
        <v>126</v>
      </c>
      <c r="B76" s="20" t="s">
        <v>127</v>
      </c>
      <c r="C76" s="21">
        <v>200070</v>
      </c>
      <c r="D76" s="22">
        <v>41972</v>
      </c>
    </row>
    <row r="77" spans="1:4" x14ac:dyDescent="0.15">
      <c r="A77" s="20" t="s">
        <v>128</v>
      </c>
      <c r="B77" s="20" t="s">
        <v>129</v>
      </c>
      <c r="C77" s="21">
        <v>200071</v>
      </c>
      <c r="D77" s="22">
        <v>41973</v>
      </c>
    </row>
    <row r="78" spans="1:4" x14ac:dyDescent="0.15">
      <c r="A78" s="19" t="str">
        <f t="shared" ref="A78" si="23">HYPERLINK("#DATE!A1","OP220-1")</f>
        <v>OP220-1</v>
      </c>
      <c r="B78" s="20" t="s">
        <v>130</v>
      </c>
      <c r="C78" s="21">
        <v>200072</v>
      </c>
      <c r="D78" s="22">
        <v>41974</v>
      </c>
    </row>
    <row r="79" spans="1:4" x14ac:dyDescent="0.15">
      <c r="A79" s="20" t="s">
        <v>131</v>
      </c>
      <c r="B79" s="20" t="s">
        <v>132</v>
      </c>
      <c r="C79" s="21">
        <v>200073</v>
      </c>
      <c r="D79" s="22">
        <v>41975</v>
      </c>
    </row>
    <row r="80" spans="1:4" x14ac:dyDescent="0.15">
      <c r="A80" s="20" t="s">
        <v>133</v>
      </c>
      <c r="B80" s="20" t="s">
        <v>134</v>
      </c>
      <c r="C80" s="21">
        <v>200074</v>
      </c>
      <c r="D80" s="22">
        <v>41976</v>
      </c>
    </row>
    <row r="81" spans="1:4" x14ac:dyDescent="0.15">
      <c r="A81" s="19" t="str">
        <f t="shared" ref="A81" si="24">HYPERLINK("#DATE!A1","OP220-1")</f>
        <v>OP220-1</v>
      </c>
      <c r="B81" s="20" t="s">
        <v>135</v>
      </c>
      <c r="C81" s="21">
        <v>200075</v>
      </c>
      <c r="D81" s="22">
        <v>41977</v>
      </c>
    </row>
    <row r="82" spans="1:4" x14ac:dyDescent="0.15">
      <c r="A82" s="20" t="s">
        <v>136</v>
      </c>
      <c r="B82" s="20" t="s">
        <v>137</v>
      </c>
      <c r="C82" s="21">
        <v>200076</v>
      </c>
      <c r="D82" s="22">
        <v>41978</v>
      </c>
    </row>
    <row r="83" spans="1:4" x14ac:dyDescent="0.15">
      <c r="A83" s="20" t="s">
        <v>138</v>
      </c>
      <c r="B83" s="20" t="s">
        <v>139</v>
      </c>
      <c r="C83" s="21">
        <v>200077</v>
      </c>
      <c r="D83" s="22">
        <v>41979</v>
      </c>
    </row>
    <row r="84" spans="1:4" x14ac:dyDescent="0.15">
      <c r="A84" s="19" t="str">
        <f t="shared" ref="A84" si="25">HYPERLINK("#DATE!A1","OP220-1")</f>
        <v>OP220-1</v>
      </c>
      <c r="B84" s="20" t="s">
        <v>140</v>
      </c>
      <c r="C84" s="21">
        <v>200078</v>
      </c>
      <c r="D84" s="22">
        <v>41980</v>
      </c>
    </row>
    <row r="85" spans="1:4" x14ac:dyDescent="0.15">
      <c r="A85" s="20" t="s">
        <v>141</v>
      </c>
      <c r="B85" s="20" t="s">
        <v>142</v>
      </c>
      <c r="C85" s="21">
        <v>200079</v>
      </c>
      <c r="D85" s="22">
        <v>41981</v>
      </c>
    </row>
    <row r="86" spans="1:4" x14ac:dyDescent="0.15">
      <c r="A86" s="20" t="s">
        <v>143</v>
      </c>
      <c r="B86" s="20" t="s">
        <v>144</v>
      </c>
      <c r="C86" s="21">
        <v>200080</v>
      </c>
      <c r="D86" s="22">
        <v>41982</v>
      </c>
    </row>
    <row r="87" spans="1:4" x14ac:dyDescent="0.15">
      <c r="A87" s="19" t="str">
        <f t="shared" ref="A87" si="26">HYPERLINK("#DATE!A1","OP220-1")</f>
        <v>OP220-1</v>
      </c>
      <c r="B87" s="20" t="s">
        <v>145</v>
      </c>
      <c r="C87" s="21">
        <v>200081</v>
      </c>
      <c r="D87" s="22">
        <v>41983</v>
      </c>
    </row>
    <row r="88" spans="1:4" x14ac:dyDescent="0.15">
      <c r="A88" s="20" t="s">
        <v>146</v>
      </c>
      <c r="B88" s="20" t="s">
        <v>147</v>
      </c>
      <c r="C88" s="21">
        <v>200082</v>
      </c>
      <c r="D88" s="22">
        <v>41984</v>
      </c>
    </row>
    <row r="89" spans="1:4" x14ac:dyDescent="0.15">
      <c r="A89" s="20" t="s">
        <v>148</v>
      </c>
      <c r="B89" s="20" t="s">
        <v>149</v>
      </c>
      <c r="C89" s="21">
        <v>200083</v>
      </c>
      <c r="D89" s="22">
        <v>41985</v>
      </c>
    </row>
    <row r="90" spans="1:4" x14ac:dyDescent="0.15">
      <c r="A90" s="19" t="str">
        <f t="shared" ref="A90" si="27">HYPERLINK("#DATE!A1","OP220-1")</f>
        <v>OP220-1</v>
      </c>
      <c r="B90" s="20" t="s">
        <v>150</v>
      </c>
      <c r="C90" s="21">
        <v>200084</v>
      </c>
      <c r="D90" s="22">
        <v>41986</v>
      </c>
    </row>
    <row r="91" spans="1:4" x14ac:dyDescent="0.15">
      <c r="A91" s="20" t="s">
        <v>151</v>
      </c>
      <c r="B91" s="20" t="s">
        <v>152</v>
      </c>
      <c r="C91" s="21">
        <v>200085</v>
      </c>
      <c r="D91" s="22">
        <v>41987</v>
      </c>
    </row>
    <row r="92" spans="1:4" x14ac:dyDescent="0.15">
      <c r="A92" s="20" t="s">
        <v>153</v>
      </c>
      <c r="B92" s="20" t="s">
        <v>154</v>
      </c>
      <c r="C92" s="21">
        <v>200086</v>
      </c>
      <c r="D92" s="22">
        <v>41988</v>
      </c>
    </row>
    <row r="93" spans="1:4" x14ac:dyDescent="0.15">
      <c r="A93" s="19" t="str">
        <f t="shared" ref="A93" si="28">HYPERLINK("#DATE!A1","OP220-1")</f>
        <v>OP220-1</v>
      </c>
      <c r="B93" s="20" t="s">
        <v>155</v>
      </c>
      <c r="C93" s="21">
        <v>200087</v>
      </c>
      <c r="D93" s="22">
        <v>41989</v>
      </c>
    </row>
    <row r="94" spans="1:4" x14ac:dyDescent="0.15">
      <c r="A94" s="20" t="s">
        <v>156</v>
      </c>
      <c r="B94" s="20" t="s">
        <v>157</v>
      </c>
      <c r="C94" s="21">
        <v>200088</v>
      </c>
      <c r="D94" s="22">
        <v>41990</v>
      </c>
    </row>
    <row r="95" spans="1:4" x14ac:dyDescent="0.15">
      <c r="A95" s="20" t="s">
        <v>158</v>
      </c>
      <c r="B95" s="20" t="s">
        <v>159</v>
      </c>
      <c r="C95" s="21">
        <v>200089</v>
      </c>
      <c r="D95" s="22">
        <v>41991</v>
      </c>
    </row>
    <row r="96" spans="1:4" x14ac:dyDescent="0.15">
      <c r="A96" s="19" t="str">
        <f t="shared" ref="A96" si="29">HYPERLINK("#DATE!A1","OP220-1")</f>
        <v>OP220-1</v>
      </c>
      <c r="B96" s="20" t="s">
        <v>160</v>
      </c>
      <c r="C96" s="21">
        <v>200090</v>
      </c>
      <c r="D96" s="22">
        <v>41992</v>
      </c>
    </row>
    <row r="97" spans="1:4" x14ac:dyDescent="0.15">
      <c r="A97" s="20" t="s">
        <v>161</v>
      </c>
      <c r="B97" s="20" t="s">
        <v>162</v>
      </c>
      <c r="C97" s="21">
        <v>200091</v>
      </c>
      <c r="D97" s="22">
        <v>41993</v>
      </c>
    </row>
    <row r="98" spans="1:4" x14ac:dyDescent="0.15">
      <c r="A98" s="20" t="s">
        <v>163</v>
      </c>
      <c r="B98" s="20" t="s">
        <v>164</v>
      </c>
      <c r="C98" s="21">
        <v>200092</v>
      </c>
      <c r="D98" s="22">
        <v>41994</v>
      </c>
    </row>
    <row r="99" spans="1:4" x14ac:dyDescent="0.15">
      <c r="A99" s="19" t="str">
        <f t="shared" ref="A99" si="30">HYPERLINK("#DATE!A1","OP220-1")</f>
        <v>OP220-1</v>
      </c>
      <c r="B99" s="20" t="s">
        <v>165</v>
      </c>
      <c r="C99" s="21">
        <v>200093</v>
      </c>
      <c r="D99" s="22">
        <v>41995</v>
      </c>
    </row>
    <row r="100" spans="1:4" x14ac:dyDescent="0.15">
      <c r="A100" s="20" t="s">
        <v>166</v>
      </c>
      <c r="B100" s="20" t="s">
        <v>167</v>
      </c>
      <c r="C100" s="21">
        <v>200094</v>
      </c>
      <c r="D100" s="22">
        <v>41996</v>
      </c>
    </row>
    <row r="101" spans="1:4" x14ac:dyDescent="0.15">
      <c r="A101" s="20" t="s">
        <v>168</v>
      </c>
      <c r="B101" s="20" t="s">
        <v>169</v>
      </c>
      <c r="C101" s="21">
        <v>200095</v>
      </c>
      <c r="D101" s="22">
        <v>41997</v>
      </c>
    </row>
    <row r="102" spans="1:4" x14ac:dyDescent="0.15">
      <c r="A102" s="19" t="str">
        <f t="shared" ref="A102" si="31">HYPERLINK("#DATE!A1","OP220-1")</f>
        <v>OP220-1</v>
      </c>
      <c r="B102" s="20" t="s">
        <v>170</v>
      </c>
      <c r="C102" s="21">
        <v>200096</v>
      </c>
      <c r="D102" s="22">
        <v>41998</v>
      </c>
    </row>
    <row r="103" spans="1:4" x14ac:dyDescent="0.15">
      <c r="A103" s="20" t="s">
        <v>171</v>
      </c>
      <c r="B103" s="20" t="s">
        <v>172</v>
      </c>
      <c r="C103" s="21">
        <v>200097</v>
      </c>
      <c r="D103" s="22">
        <v>41999</v>
      </c>
    </row>
    <row r="104" spans="1:4" x14ac:dyDescent="0.15">
      <c r="A104" s="20" t="s">
        <v>173</v>
      </c>
      <c r="B104" s="20" t="s">
        <v>174</v>
      </c>
      <c r="C104" s="21">
        <v>200098</v>
      </c>
      <c r="D104" s="22">
        <v>42000</v>
      </c>
    </row>
    <row r="105" spans="1:4" x14ac:dyDescent="0.15">
      <c r="A105" s="19" t="str">
        <f t="shared" ref="A105" si="32">HYPERLINK("#DATE!A1","OP220-1")</f>
        <v>OP220-1</v>
      </c>
      <c r="B105" s="20" t="s">
        <v>175</v>
      </c>
      <c r="C105" s="21">
        <v>200099</v>
      </c>
      <c r="D105" s="22">
        <v>42001</v>
      </c>
    </row>
    <row r="106" spans="1:4" x14ac:dyDescent="0.15">
      <c r="A106" s="20" t="s">
        <v>176</v>
      </c>
      <c r="B106" s="20" t="s">
        <v>177</v>
      </c>
      <c r="C106" s="21">
        <v>200100</v>
      </c>
      <c r="D106" s="22">
        <v>42002</v>
      </c>
    </row>
    <row r="107" spans="1:4" x14ac:dyDescent="0.15">
      <c r="A107" s="20" t="s">
        <v>178</v>
      </c>
      <c r="B107" s="20" t="s">
        <v>179</v>
      </c>
      <c r="C107" s="21">
        <v>200101</v>
      </c>
      <c r="D107" s="22">
        <v>42003</v>
      </c>
    </row>
    <row r="108" spans="1:4" x14ac:dyDescent="0.15">
      <c r="A108" s="19" t="str">
        <f t="shared" ref="A108" si="33">HYPERLINK("#DATE!A1","OP220-1")</f>
        <v>OP220-1</v>
      </c>
      <c r="B108" s="20" t="s">
        <v>180</v>
      </c>
      <c r="C108" s="21">
        <v>200102</v>
      </c>
      <c r="D108" s="22">
        <v>42004</v>
      </c>
    </row>
    <row r="109" spans="1:4" x14ac:dyDescent="0.15">
      <c r="A109" s="20" t="s">
        <v>181</v>
      </c>
      <c r="B109" s="20" t="s">
        <v>182</v>
      </c>
      <c r="C109" s="21">
        <v>200103</v>
      </c>
      <c r="D109" s="22">
        <v>42005</v>
      </c>
    </row>
    <row r="110" spans="1:4" x14ac:dyDescent="0.15">
      <c r="A110" s="20" t="s">
        <v>183</v>
      </c>
      <c r="B110" s="20" t="s">
        <v>184</v>
      </c>
      <c r="C110" s="21">
        <v>200104</v>
      </c>
      <c r="D110" s="22">
        <v>42006</v>
      </c>
    </row>
    <row r="111" spans="1:4" x14ac:dyDescent="0.15">
      <c r="A111" s="19" t="str">
        <f t="shared" ref="A111" si="34">HYPERLINK("#DATE!A1","OP220-1")</f>
        <v>OP220-1</v>
      </c>
      <c r="B111" s="20" t="s">
        <v>185</v>
      </c>
      <c r="C111" s="21">
        <v>200105</v>
      </c>
      <c r="D111" s="22">
        <v>42007</v>
      </c>
    </row>
    <row r="112" spans="1:4" x14ac:dyDescent="0.15">
      <c r="A112" s="20" t="s">
        <v>186</v>
      </c>
      <c r="B112" s="20" t="s">
        <v>187</v>
      </c>
      <c r="C112" s="21">
        <v>200106</v>
      </c>
      <c r="D112" s="22">
        <v>42008</v>
      </c>
    </row>
    <row r="113" spans="1:4" x14ac:dyDescent="0.15">
      <c r="A113" s="20" t="s">
        <v>188</v>
      </c>
      <c r="B113" s="20" t="s">
        <v>189</v>
      </c>
      <c r="C113" s="21">
        <v>200107</v>
      </c>
      <c r="D113" s="22">
        <v>42009</v>
      </c>
    </row>
    <row r="114" spans="1:4" x14ac:dyDescent="0.15">
      <c r="A114" s="19" t="str">
        <f t="shared" ref="A114" si="35">HYPERLINK("#DATE!A1","OP220-1")</f>
        <v>OP220-1</v>
      </c>
      <c r="B114" s="20" t="s">
        <v>190</v>
      </c>
      <c r="C114" s="21">
        <v>200108</v>
      </c>
      <c r="D114" s="22">
        <v>42010</v>
      </c>
    </row>
    <row r="115" spans="1:4" x14ac:dyDescent="0.15">
      <c r="A115" s="20" t="s">
        <v>191</v>
      </c>
      <c r="B115" s="20" t="s">
        <v>192</v>
      </c>
      <c r="C115" s="21">
        <v>200109</v>
      </c>
      <c r="D115" s="22">
        <v>42011</v>
      </c>
    </row>
    <row r="116" spans="1:4" x14ac:dyDescent="0.15">
      <c r="A116" s="20" t="s">
        <v>193</v>
      </c>
      <c r="B116" s="20" t="s">
        <v>194</v>
      </c>
      <c r="C116" s="21">
        <v>200110</v>
      </c>
      <c r="D116" s="22">
        <v>42012</v>
      </c>
    </row>
    <row r="117" spans="1:4" x14ac:dyDescent="0.15">
      <c r="A117" s="19" t="str">
        <f t="shared" ref="A117" si="36">HYPERLINK("#DATE!A1","OP220-1")</f>
        <v>OP220-1</v>
      </c>
      <c r="B117" s="20" t="s">
        <v>195</v>
      </c>
      <c r="C117" s="21">
        <v>200111</v>
      </c>
      <c r="D117" s="22">
        <v>42013</v>
      </c>
    </row>
    <row r="118" spans="1:4" x14ac:dyDescent="0.15">
      <c r="A118" s="20" t="s">
        <v>196</v>
      </c>
      <c r="B118" s="20" t="s">
        <v>197</v>
      </c>
      <c r="C118" s="21">
        <v>200112</v>
      </c>
      <c r="D118" s="22">
        <v>42014</v>
      </c>
    </row>
    <row r="119" spans="1:4" x14ac:dyDescent="0.15">
      <c r="A119" s="20" t="s">
        <v>198</v>
      </c>
      <c r="B119" s="20" t="s">
        <v>199</v>
      </c>
      <c r="C119" s="21">
        <v>200113</v>
      </c>
      <c r="D119" s="22">
        <v>42015</v>
      </c>
    </row>
    <row r="120" spans="1:4" x14ac:dyDescent="0.15">
      <c r="A120" s="19" t="str">
        <f t="shared" ref="A120" si="37">HYPERLINK("#DATE!A1","OP220-1")</f>
        <v>OP220-1</v>
      </c>
      <c r="B120" s="20" t="s">
        <v>200</v>
      </c>
      <c r="C120" s="21">
        <v>200114</v>
      </c>
      <c r="D120" s="22">
        <v>42016</v>
      </c>
    </row>
    <row r="121" spans="1:4" x14ac:dyDescent="0.15">
      <c r="A121" s="20" t="s">
        <v>201</v>
      </c>
      <c r="B121" s="20" t="s">
        <v>202</v>
      </c>
      <c r="C121" s="21">
        <v>200115</v>
      </c>
      <c r="D121" s="22">
        <v>42017</v>
      </c>
    </row>
    <row r="122" spans="1:4" x14ac:dyDescent="0.15">
      <c r="A122" s="20" t="s">
        <v>203</v>
      </c>
      <c r="B122" s="20" t="s">
        <v>204</v>
      </c>
      <c r="C122" s="21">
        <v>200116</v>
      </c>
      <c r="D122" s="22">
        <v>42018</v>
      </c>
    </row>
    <row r="123" spans="1:4" x14ac:dyDescent="0.15">
      <c r="A123" s="19" t="str">
        <f t="shared" ref="A123" si="38">HYPERLINK("#DATE!A1","OP220-1")</f>
        <v>OP220-1</v>
      </c>
      <c r="B123" s="20" t="s">
        <v>205</v>
      </c>
      <c r="C123" s="21">
        <v>200117</v>
      </c>
      <c r="D123" s="22">
        <v>42019</v>
      </c>
    </row>
    <row r="124" spans="1:4" x14ac:dyDescent="0.15">
      <c r="A124" s="20" t="s">
        <v>206</v>
      </c>
      <c r="B124" s="20" t="s">
        <v>207</v>
      </c>
      <c r="C124" s="21">
        <v>200118</v>
      </c>
      <c r="D124" s="22">
        <v>42020</v>
      </c>
    </row>
    <row r="125" spans="1:4" x14ac:dyDescent="0.15">
      <c r="A125" s="20" t="s">
        <v>208</v>
      </c>
      <c r="B125" s="20" t="s">
        <v>209</v>
      </c>
      <c r="C125" s="21">
        <v>200119</v>
      </c>
      <c r="D125" s="22">
        <v>42021</v>
      </c>
    </row>
    <row r="126" spans="1:4" x14ac:dyDescent="0.15">
      <c r="A126" s="19" t="str">
        <f t="shared" ref="A126" si="39">HYPERLINK("#DATE!A1","OP220-1")</f>
        <v>OP220-1</v>
      </c>
      <c r="B126" s="20" t="s">
        <v>210</v>
      </c>
      <c r="C126" s="21">
        <v>200120</v>
      </c>
      <c r="D126" s="22">
        <v>42022</v>
      </c>
    </row>
    <row r="127" spans="1:4" x14ac:dyDescent="0.15">
      <c r="A127" s="20" t="s">
        <v>211</v>
      </c>
      <c r="B127" s="20" t="s">
        <v>212</v>
      </c>
      <c r="C127" s="21">
        <v>200121</v>
      </c>
      <c r="D127" s="22">
        <v>42023</v>
      </c>
    </row>
    <row r="128" spans="1:4" x14ac:dyDescent="0.15">
      <c r="A128" s="20" t="s">
        <v>213</v>
      </c>
      <c r="B128" s="20" t="s">
        <v>214</v>
      </c>
      <c r="C128" s="21">
        <v>200122</v>
      </c>
      <c r="D128" s="22">
        <v>42024</v>
      </c>
    </row>
    <row r="129" spans="1:4" x14ac:dyDescent="0.15">
      <c r="A129" s="19" t="str">
        <f t="shared" ref="A129" si="40">HYPERLINK("#DATE!A1","OP220-1")</f>
        <v>OP220-1</v>
      </c>
      <c r="B129" s="20" t="s">
        <v>215</v>
      </c>
      <c r="C129" s="21">
        <v>200123</v>
      </c>
      <c r="D129" s="22">
        <v>42025</v>
      </c>
    </row>
    <row r="130" spans="1:4" x14ac:dyDescent="0.15">
      <c r="A130" s="20" t="s">
        <v>216</v>
      </c>
      <c r="B130" s="20" t="s">
        <v>217</v>
      </c>
      <c r="C130" s="21">
        <v>200124</v>
      </c>
      <c r="D130" s="22">
        <v>42026</v>
      </c>
    </row>
    <row r="131" spans="1:4" x14ac:dyDescent="0.15">
      <c r="A131" s="20" t="s">
        <v>218</v>
      </c>
      <c r="B131" s="20" t="s">
        <v>219</v>
      </c>
      <c r="C131" s="21">
        <v>200125</v>
      </c>
      <c r="D131" s="22">
        <v>42027</v>
      </c>
    </row>
    <row r="132" spans="1:4" x14ac:dyDescent="0.15">
      <c r="A132" s="19" t="str">
        <f t="shared" ref="A132" si="41">HYPERLINK("#DATE!A1","OP220-1")</f>
        <v>OP220-1</v>
      </c>
      <c r="B132" s="20" t="s">
        <v>220</v>
      </c>
      <c r="C132" s="21">
        <v>200126</v>
      </c>
      <c r="D132" s="22">
        <v>42028</v>
      </c>
    </row>
    <row r="133" spans="1:4" x14ac:dyDescent="0.15">
      <c r="A133" s="20" t="s">
        <v>221</v>
      </c>
      <c r="B133" s="20" t="s">
        <v>222</v>
      </c>
      <c r="C133" s="21">
        <v>200127</v>
      </c>
      <c r="D133" s="22">
        <v>42029</v>
      </c>
    </row>
    <row r="134" spans="1:4" x14ac:dyDescent="0.15">
      <c r="A134" s="20" t="s">
        <v>223</v>
      </c>
      <c r="B134" s="20" t="s">
        <v>224</v>
      </c>
      <c r="C134" s="21">
        <v>200128</v>
      </c>
      <c r="D134" s="22">
        <v>42030</v>
      </c>
    </row>
    <row r="135" spans="1:4" x14ac:dyDescent="0.15">
      <c r="A135" s="19" t="str">
        <f t="shared" ref="A135" si="42">HYPERLINK("#DATE!A1","OP220-1")</f>
        <v>OP220-1</v>
      </c>
      <c r="B135" s="20" t="s">
        <v>225</v>
      </c>
      <c r="C135" s="21">
        <v>200129</v>
      </c>
      <c r="D135" s="22">
        <v>42031</v>
      </c>
    </row>
    <row r="136" spans="1:4" x14ac:dyDescent="0.15">
      <c r="A136" s="20" t="s">
        <v>226</v>
      </c>
      <c r="B136" s="20" t="s">
        <v>227</v>
      </c>
      <c r="C136" s="21">
        <v>200130</v>
      </c>
      <c r="D136" s="22">
        <v>42032</v>
      </c>
    </row>
    <row r="137" spans="1:4" x14ac:dyDescent="0.15">
      <c r="A137" s="20" t="s">
        <v>228</v>
      </c>
      <c r="B137" s="20" t="s">
        <v>229</v>
      </c>
      <c r="C137" s="21">
        <v>200131</v>
      </c>
      <c r="D137" s="22">
        <v>42033</v>
      </c>
    </row>
    <row r="138" spans="1:4" x14ac:dyDescent="0.15">
      <c r="A138" s="19" t="str">
        <f t="shared" ref="A138" si="43">HYPERLINK("#DATE!A1","OP220-1")</f>
        <v>OP220-1</v>
      </c>
      <c r="B138" s="20" t="s">
        <v>230</v>
      </c>
      <c r="C138" s="21">
        <v>200132</v>
      </c>
      <c r="D138" s="22">
        <v>42034</v>
      </c>
    </row>
    <row r="139" spans="1:4" x14ac:dyDescent="0.15">
      <c r="A139" s="20" t="s">
        <v>231</v>
      </c>
      <c r="B139" s="20" t="s">
        <v>232</v>
      </c>
      <c r="C139" s="21">
        <v>200133</v>
      </c>
      <c r="D139" s="22">
        <v>42035</v>
      </c>
    </row>
    <row r="140" spans="1:4" x14ac:dyDescent="0.15">
      <c r="A140" s="20" t="s">
        <v>233</v>
      </c>
      <c r="B140" s="20" t="s">
        <v>234</v>
      </c>
      <c r="C140" s="21">
        <v>200134</v>
      </c>
      <c r="D140" s="22">
        <v>42036</v>
      </c>
    </row>
    <row r="141" spans="1:4" x14ac:dyDescent="0.15">
      <c r="A141" s="19" t="str">
        <f t="shared" ref="A141" si="44">HYPERLINK("#DATE!A1","OP220-1")</f>
        <v>OP220-1</v>
      </c>
      <c r="B141" s="20" t="s">
        <v>235</v>
      </c>
      <c r="C141" s="21">
        <v>200135</v>
      </c>
      <c r="D141" s="22">
        <v>42037</v>
      </c>
    </row>
    <row r="142" spans="1:4" x14ac:dyDescent="0.15">
      <c r="A142" s="20" t="s">
        <v>236</v>
      </c>
      <c r="B142" s="20" t="s">
        <v>237</v>
      </c>
      <c r="C142" s="21">
        <v>200136</v>
      </c>
      <c r="D142" s="22">
        <v>42038</v>
      </c>
    </row>
    <row r="143" spans="1:4" x14ac:dyDescent="0.15">
      <c r="A143" s="20" t="s">
        <v>238</v>
      </c>
      <c r="B143" s="20" t="s">
        <v>239</v>
      </c>
      <c r="C143" s="21">
        <v>200137</v>
      </c>
      <c r="D143" s="22">
        <v>42039</v>
      </c>
    </row>
    <row r="144" spans="1:4" x14ac:dyDescent="0.15">
      <c r="A144" s="19" t="str">
        <f t="shared" ref="A144" si="45">HYPERLINK("#DATE!A1","OP220-1")</f>
        <v>OP220-1</v>
      </c>
      <c r="B144" s="20" t="s">
        <v>240</v>
      </c>
      <c r="C144" s="21">
        <v>200138</v>
      </c>
      <c r="D144" s="22">
        <v>42040</v>
      </c>
    </row>
    <row r="145" spans="1:4" x14ac:dyDescent="0.15">
      <c r="A145" s="20" t="s">
        <v>241</v>
      </c>
      <c r="B145" s="20" t="s">
        <v>242</v>
      </c>
      <c r="C145" s="21">
        <v>200139</v>
      </c>
      <c r="D145" s="22">
        <v>42041</v>
      </c>
    </row>
    <row r="146" spans="1:4" x14ac:dyDescent="0.15">
      <c r="A146" s="20" t="s">
        <v>243</v>
      </c>
      <c r="B146" s="20" t="s">
        <v>244</v>
      </c>
      <c r="C146" s="21">
        <v>200140</v>
      </c>
      <c r="D146" s="22">
        <v>42042</v>
      </c>
    </row>
    <row r="147" spans="1:4" x14ac:dyDescent="0.15">
      <c r="A147" s="19" t="str">
        <f t="shared" ref="A147" si="46">HYPERLINK("#DATE!A1","OP220-1")</f>
        <v>OP220-1</v>
      </c>
      <c r="B147" s="20" t="s">
        <v>245</v>
      </c>
      <c r="C147" s="21">
        <v>200141</v>
      </c>
      <c r="D147" s="22">
        <v>42043</v>
      </c>
    </row>
    <row r="148" spans="1:4" x14ac:dyDescent="0.15">
      <c r="A148" s="20" t="s">
        <v>246</v>
      </c>
      <c r="B148" s="20" t="s">
        <v>247</v>
      </c>
      <c r="C148" s="21">
        <v>200142</v>
      </c>
      <c r="D148" s="22">
        <v>42044</v>
      </c>
    </row>
    <row r="149" spans="1:4" x14ac:dyDescent="0.15">
      <c r="A149" s="20" t="s">
        <v>248</v>
      </c>
      <c r="B149" s="20" t="s">
        <v>249</v>
      </c>
      <c r="C149" s="21">
        <v>200143</v>
      </c>
      <c r="D149" s="22">
        <v>42045</v>
      </c>
    </row>
    <row r="150" spans="1:4" x14ac:dyDescent="0.15">
      <c r="A150" s="19" t="str">
        <f t="shared" ref="A150" si="47">HYPERLINK("#DATE!A1","OP220-1")</f>
        <v>OP220-1</v>
      </c>
      <c r="B150" s="20" t="s">
        <v>250</v>
      </c>
      <c r="C150" s="21">
        <v>200144</v>
      </c>
      <c r="D150" s="22">
        <v>42046</v>
      </c>
    </row>
    <row r="151" spans="1:4" x14ac:dyDescent="0.15">
      <c r="A151" s="20" t="s">
        <v>251</v>
      </c>
      <c r="B151" s="20" t="s">
        <v>252</v>
      </c>
      <c r="C151" s="21">
        <v>200145</v>
      </c>
      <c r="D151" s="22">
        <v>42047</v>
      </c>
    </row>
    <row r="152" spans="1:4" x14ac:dyDescent="0.15">
      <c r="A152" s="20" t="s">
        <v>253</v>
      </c>
      <c r="B152" s="20" t="s">
        <v>254</v>
      </c>
      <c r="C152" s="21">
        <v>200146</v>
      </c>
      <c r="D152" s="22">
        <v>42048</v>
      </c>
    </row>
    <row r="153" spans="1:4" x14ac:dyDescent="0.15">
      <c r="A153" s="19" t="str">
        <f t="shared" ref="A153" si="48">HYPERLINK("#DATE!A1","OP220-1")</f>
        <v>OP220-1</v>
      </c>
      <c r="B153" s="20" t="s">
        <v>255</v>
      </c>
      <c r="C153" s="21">
        <v>200147</v>
      </c>
      <c r="D153" s="22">
        <v>42049</v>
      </c>
    </row>
    <row r="154" spans="1:4" x14ac:dyDescent="0.15">
      <c r="A154" s="20" t="s">
        <v>256</v>
      </c>
      <c r="B154" s="20" t="s">
        <v>257</v>
      </c>
      <c r="C154" s="21">
        <v>200148</v>
      </c>
      <c r="D154" s="22">
        <v>42050</v>
      </c>
    </row>
    <row r="155" spans="1:4" x14ac:dyDescent="0.15">
      <c r="A155" s="20" t="s">
        <v>258</v>
      </c>
      <c r="B155" s="20" t="s">
        <v>259</v>
      </c>
      <c r="C155" s="21">
        <v>200149</v>
      </c>
      <c r="D155" s="22">
        <v>42051</v>
      </c>
    </row>
    <row r="156" spans="1:4" x14ac:dyDescent="0.15">
      <c r="A156" s="19" t="str">
        <f t="shared" ref="A156" si="49">HYPERLINK("#DATE!A1","OP220-1")</f>
        <v>OP220-1</v>
      </c>
      <c r="B156" s="20" t="s">
        <v>260</v>
      </c>
      <c r="C156" s="21">
        <v>200150</v>
      </c>
      <c r="D156" s="22">
        <v>42052</v>
      </c>
    </row>
    <row r="157" spans="1:4" x14ac:dyDescent="0.15">
      <c r="A157" s="20" t="s">
        <v>261</v>
      </c>
      <c r="B157" s="20" t="s">
        <v>262</v>
      </c>
      <c r="C157" s="21">
        <v>200151</v>
      </c>
      <c r="D157" s="22">
        <v>42053</v>
      </c>
    </row>
    <row r="158" spans="1:4" x14ac:dyDescent="0.15">
      <c r="A158" s="20" t="s">
        <v>263</v>
      </c>
      <c r="B158" s="20" t="s">
        <v>264</v>
      </c>
      <c r="C158" s="21">
        <v>200152</v>
      </c>
      <c r="D158" s="22">
        <v>42054</v>
      </c>
    </row>
    <row r="159" spans="1:4" x14ac:dyDescent="0.15">
      <c r="A159" s="19" t="str">
        <f t="shared" ref="A159" si="50">HYPERLINK("#DATE!A1","OP220-1")</f>
        <v>OP220-1</v>
      </c>
      <c r="B159" s="20" t="s">
        <v>265</v>
      </c>
      <c r="C159" s="21">
        <v>200153</v>
      </c>
      <c r="D159" s="22">
        <v>42055</v>
      </c>
    </row>
    <row r="160" spans="1:4" x14ac:dyDescent="0.15">
      <c r="A160" s="20" t="s">
        <v>266</v>
      </c>
      <c r="B160" s="20" t="s">
        <v>267</v>
      </c>
      <c r="C160" s="21">
        <v>200154</v>
      </c>
      <c r="D160" s="22">
        <v>42056</v>
      </c>
    </row>
    <row r="161" spans="1:4" x14ac:dyDescent="0.15">
      <c r="A161" s="20" t="s">
        <v>268</v>
      </c>
      <c r="B161" s="20" t="s">
        <v>269</v>
      </c>
      <c r="C161" s="21">
        <v>200155</v>
      </c>
      <c r="D161" s="22">
        <v>42057</v>
      </c>
    </row>
    <row r="162" spans="1:4" x14ac:dyDescent="0.15">
      <c r="A162" s="19" t="str">
        <f t="shared" ref="A162" si="51">HYPERLINK("#DATE!A1","OP220-1")</f>
        <v>OP220-1</v>
      </c>
      <c r="B162" s="20" t="s">
        <v>270</v>
      </c>
      <c r="C162" s="21">
        <v>200156</v>
      </c>
      <c r="D162" s="22">
        <v>42058</v>
      </c>
    </row>
    <row r="163" spans="1:4" x14ac:dyDescent="0.15">
      <c r="A163" s="20" t="s">
        <v>271</v>
      </c>
      <c r="B163" s="20" t="s">
        <v>272</v>
      </c>
      <c r="C163" s="21">
        <v>200157</v>
      </c>
      <c r="D163" s="22">
        <v>42059</v>
      </c>
    </row>
    <row r="164" spans="1:4" x14ac:dyDescent="0.15">
      <c r="A164" s="20" t="s">
        <v>273</v>
      </c>
      <c r="B164" s="20" t="s">
        <v>274</v>
      </c>
      <c r="C164" s="21">
        <v>200158</v>
      </c>
      <c r="D164" s="22">
        <v>42060</v>
      </c>
    </row>
    <row r="165" spans="1:4" x14ac:dyDescent="0.15">
      <c r="A165" s="19" t="str">
        <f t="shared" ref="A165" si="52">HYPERLINK("#DATE!A1","OP220-1")</f>
        <v>OP220-1</v>
      </c>
      <c r="B165" s="20" t="s">
        <v>275</v>
      </c>
      <c r="C165" s="21">
        <v>200159</v>
      </c>
      <c r="D165" s="22">
        <v>42061</v>
      </c>
    </row>
    <row r="166" spans="1:4" x14ac:dyDescent="0.15">
      <c r="A166" s="20" t="s">
        <v>276</v>
      </c>
      <c r="B166" s="20" t="s">
        <v>277</v>
      </c>
      <c r="C166" s="21">
        <v>200160</v>
      </c>
      <c r="D166" s="22">
        <v>42062</v>
      </c>
    </row>
    <row r="167" spans="1:4" x14ac:dyDescent="0.15">
      <c r="A167" s="20" t="s">
        <v>278</v>
      </c>
      <c r="B167" s="20" t="s">
        <v>279</v>
      </c>
      <c r="C167" s="21">
        <v>200161</v>
      </c>
      <c r="D167" s="22">
        <v>42063</v>
      </c>
    </row>
    <row r="168" spans="1:4" x14ac:dyDescent="0.15">
      <c r="A168" s="19" t="str">
        <f t="shared" ref="A168" si="53">HYPERLINK("#DATE!A1","OP220-1")</f>
        <v>OP220-1</v>
      </c>
      <c r="B168" s="20" t="s">
        <v>280</v>
      </c>
      <c r="C168" s="21">
        <v>200162</v>
      </c>
      <c r="D168" s="22">
        <v>42064</v>
      </c>
    </row>
    <row r="169" spans="1:4" x14ac:dyDescent="0.15">
      <c r="A169" s="20" t="s">
        <v>281</v>
      </c>
      <c r="B169" s="20" t="s">
        <v>282</v>
      </c>
      <c r="C169" s="21">
        <v>200163</v>
      </c>
      <c r="D169" s="22">
        <v>42065</v>
      </c>
    </row>
    <row r="170" spans="1:4" x14ac:dyDescent="0.15">
      <c r="A170" s="20" t="s">
        <v>283</v>
      </c>
      <c r="B170" s="20" t="s">
        <v>284</v>
      </c>
      <c r="C170" s="21">
        <v>200164</v>
      </c>
      <c r="D170" s="22">
        <v>42066</v>
      </c>
    </row>
    <row r="171" spans="1:4" x14ac:dyDescent="0.15">
      <c r="A171" s="19" t="str">
        <f t="shared" ref="A171" si="54">HYPERLINK("#DATE!A1","OP220-1")</f>
        <v>OP220-1</v>
      </c>
      <c r="B171" s="20" t="s">
        <v>285</v>
      </c>
      <c r="C171" s="21">
        <v>200165</v>
      </c>
      <c r="D171" s="22">
        <v>42067</v>
      </c>
    </row>
    <row r="172" spans="1:4" x14ac:dyDescent="0.15">
      <c r="A172" s="20" t="s">
        <v>286</v>
      </c>
      <c r="B172" s="20" t="s">
        <v>287</v>
      </c>
      <c r="C172" s="21">
        <v>200166</v>
      </c>
      <c r="D172" s="22">
        <v>42068</v>
      </c>
    </row>
    <row r="173" spans="1:4" x14ac:dyDescent="0.15">
      <c r="A173" s="20" t="s">
        <v>288</v>
      </c>
      <c r="B173" s="20" t="s">
        <v>289</v>
      </c>
      <c r="C173" s="21">
        <v>200167</v>
      </c>
      <c r="D173" s="22">
        <v>42069</v>
      </c>
    </row>
    <row r="174" spans="1:4" x14ac:dyDescent="0.15">
      <c r="A174" s="19" t="str">
        <f t="shared" ref="A174" si="55">HYPERLINK("#DATE!A1","OP220-1")</f>
        <v>OP220-1</v>
      </c>
      <c r="B174" s="20" t="s">
        <v>290</v>
      </c>
      <c r="C174" s="21">
        <v>200168</v>
      </c>
      <c r="D174" s="22">
        <v>42070</v>
      </c>
    </row>
    <row r="175" spans="1:4" x14ac:dyDescent="0.15">
      <c r="A175" s="20" t="s">
        <v>291</v>
      </c>
      <c r="B175" s="20" t="s">
        <v>292</v>
      </c>
      <c r="C175" s="21">
        <v>200169</v>
      </c>
      <c r="D175" s="22">
        <v>42071</v>
      </c>
    </row>
    <row r="176" spans="1:4" x14ac:dyDescent="0.15">
      <c r="A176" s="20" t="s">
        <v>293</v>
      </c>
      <c r="B176" s="20" t="s">
        <v>294</v>
      </c>
      <c r="C176" s="21">
        <v>200170</v>
      </c>
      <c r="D176" s="22">
        <v>42072</v>
      </c>
    </row>
    <row r="177" spans="1:4" x14ac:dyDescent="0.15">
      <c r="A177" s="19" t="str">
        <f t="shared" ref="A177" si="56">HYPERLINK("#DATE!A1","OP220-1")</f>
        <v>OP220-1</v>
      </c>
      <c r="B177" s="20" t="s">
        <v>295</v>
      </c>
      <c r="C177" s="21">
        <v>200171</v>
      </c>
      <c r="D177" s="22">
        <v>42073</v>
      </c>
    </row>
    <row r="178" spans="1:4" x14ac:dyDescent="0.15">
      <c r="A178" s="20" t="s">
        <v>296</v>
      </c>
      <c r="B178" s="20" t="s">
        <v>297</v>
      </c>
      <c r="C178" s="21">
        <v>200172</v>
      </c>
      <c r="D178" s="22">
        <v>42074</v>
      </c>
    </row>
    <row r="179" spans="1:4" x14ac:dyDescent="0.15">
      <c r="A179" s="20" t="s">
        <v>298</v>
      </c>
      <c r="B179" s="20" t="s">
        <v>299</v>
      </c>
      <c r="C179" s="21">
        <v>200173</v>
      </c>
      <c r="D179" s="22">
        <v>42075</v>
      </c>
    </row>
    <row r="180" spans="1:4" x14ac:dyDescent="0.15">
      <c r="A180" s="19" t="str">
        <f t="shared" ref="A180" si="57">HYPERLINK("#DATE!A1","OP220-1")</f>
        <v>OP220-1</v>
      </c>
      <c r="B180" s="20" t="s">
        <v>300</v>
      </c>
      <c r="C180" s="21">
        <v>200174</v>
      </c>
      <c r="D180" s="22">
        <v>42076</v>
      </c>
    </row>
    <row r="181" spans="1:4" x14ac:dyDescent="0.15">
      <c r="A181" s="20" t="s">
        <v>301</v>
      </c>
      <c r="B181" s="20" t="s">
        <v>302</v>
      </c>
      <c r="C181" s="21">
        <v>200175</v>
      </c>
      <c r="D181" s="22">
        <v>42077</v>
      </c>
    </row>
    <row r="182" spans="1:4" x14ac:dyDescent="0.15">
      <c r="A182" s="20" t="s">
        <v>303</v>
      </c>
      <c r="B182" s="20" t="s">
        <v>304</v>
      </c>
      <c r="C182" s="21">
        <v>200176</v>
      </c>
      <c r="D182" s="22">
        <v>42078</v>
      </c>
    </row>
    <row r="183" spans="1:4" x14ac:dyDescent="0.15">
      <c r="A183" s="19" t="str">
        <f t="shared" ref="A183" si="58">HYPERLINK("#DATE!A1","OP220-1")</f>
        <v>OP220-1</v>
      </c>
      <c r="B183" s="20" t="s">
        <v>305</v>
      </c>
      <c r="C183" s="21">
        <v>200177</v>
      </c>
      <c r="D183" s="22">
        <v>42079</v>
      </c>
    </row>
    <row r="184" spans="1:4" x14ac:dyDescent="0.15">
      <c r="A184" s="20" t="s">
        <v>306</v>
      </c>
      <c r="B184" s="20" t="s">
        <v>307</v>
      </c>
      <c r="C184" s="21">
        <v>200178</v>
      </c>
      <c r="D184" s="22">
        <v>42080</v>
      </c>
    </row>
    <row r="185" spans="1:4" x14ac:dyDescent="0.15">
      <c r="A185" s="20" t="s">
        <v>308</v>
      </c>
      <c r="B185" s="20" t="s">
        <v>309</v>
      </c>
      <c r="C185" s="21">
        <v>200179</v>
      </c>
      <c r="D185" s="22">
        <v>42081</v>
      </c>
    </row>
  </sheetData>
  <mergeCells count="3">
    <mergeCell ref="O5:U5"/>
    <mergeCell ref="A1:D1"/>
    <mergeCell ref="O28:U2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85"/>
  <sheetViews>
    <sheetView workbookViewId="0">
      <selection activeCell="A25" sqref="A25"/>
    </sheetView>
  </sheetViews>
  <sheetFormatPr defaultRowHeight="16.5" x14ac:dyDescent="0.15"/>
  <cols>
    <col min="1" max="1" width="9.75" style="15" customWidth="1"/>
    <col min="2" max="2" width="12" style="15" customWidth="1"/>
    <col min="3" max="3" width="15.5" style="15" customWidth="1"/>
    <col min="4" max="4" width="13.625" style="15" customWidth="1"/>
    <col min="5" max="5" width="12" style="15" customWidth="1"/>
    <col min="6" max="6" width="0" style="15" hidden="1" customWidth="1"/>
    <col min="7" max="13" width="12.625" style="15" hidden="1" customWidth="1"/>
    <col min="14" max="17" width="9" style="15"/>
    <col min="18" max="18" width="9.625" style="15" bestFit="1" customWidth="1"/>
    <col min="19" max="16384" width="9" style="15"/>
  </cols>
  <sheetData>
    <row r="1" spans="1:21" ht="20.25" customHeight="1" x14ac:dyDescent="0.15">
      <c r="A1" s="27" t="s">
        <v>317</v>
      </c>
      <c r="B1" s="28"/>
      <c r="C1" s="28"/>
      <c r="D1" s="28"/>
    </row>
    <row r="2" spans="1:21" ht="3" customHeight="1" x14ac:dyDescent="0.15"/>
    <row r="3" spans="1:21" s="3" customFormat="1" x14ac:dyDescent="0.15">
      <c r="A3" s="23" t="s">
        <v>313</v>
      </c>
      <c r="B3" s="10"/>
      <c r="C3" s="16" t="s">
        <v>314</v>
      </c>
      <c r="D3" s="10"/>
      <c r="E3" s="1"/>
      <c r="F3" s="2"/>
    </row>
    <row r="4" spans="1:21" ht="3" customHeight="1" x14ac:dyDescent="0.15">
      <c r="A4" s="17"/>
      <c r="B4" s="17"/>
      <c r="C4" s="17"/>
      <c r="D4" s="17"/>
    </row>
    <row r="5" spans="1:21" ht="20.25" customHeight="1" x14ac:dyDescent="0.15">
      <c r="A5" s="18" t="s">
        <v>311</v>
      </c>
      <c r="B5" s="18" t="s">
        <v>2</v>
      </c>
      <c r="C5" s="18" t="s">
        <v>0</v>
      </c>
      <c r="D5" s="18" t="s">
        <v>1</v>
      </c>
      <c r="O5" s="29" t="s">
        <v>320</v>
      </c>
      <c r="P5" s="30"/>
      <c r="Q5" s="30"/>
      <c r="R5" s="30"/>
      <c r="S5" s="30"/>
      <c r="T5" s="30"/>
      <c r="U5" s="30"/>
    </row>
    <row r="6" spans="1:21" ht="15" customHeight="1" x14ac:dyDescent="0.15">
      <c r="A6" s="19" t="str">
        <f>HYPERLINK("#DATE!A1","OP220-1")</f>
        <v>OP220-1</v>
      </c>
      <c r="B6" s="20" t="s">
        <v>3</v>
      </c>
      <c r="C6" s="21">
        <v>200000</v>
      </c>
      <c r="D6" s="22">
        <v>41902</v>
      </c>
      <c r="O6" s="5" t="s">
        <v>14</v>
      </c>
      <c r="P6" s="5" t="s">
        <v>8</v>
      </c>
      <c r="Q6" s="5" t="s">
        <v>9</v>
      </c>
      <c r="R6" s="5" t="s">
        <v>10</v>
      </c>
      <c r="S6" s="5" t="s">
        <v>11</v>
      </c>
      <c r="T6" s="5" t="s">
        <v>12</v>
      </c>
      <c r="U6" s="5" t="s">
        <v>13</v>
      </c>
    </row>
    <row r="7" spans="1:21" x14ac:dyDescent="0.15">
      <c r="A7" s="20" t="s">
        <v>4</v>
      </c>
      <c r="B7" s="20" t="s">
        <v>6</v>
      </c>
      <c r="C7" s="21">
        <v>200001</v>
      </c>
      <c r="D7" s="22">
        <v>41903</v>
      </c>
      <c r="O7" s="9">
        <v>41847</v>
      </c>
      <c r="P7" s="9">
        <v>41848</v>
      </c>
      <c r="Q7" s="9">
        <v>41849</v>
      </c>
      <c r="R7" s="9">
        <v>41850</v>
      </c>
      <c r="S7" s="9">
        <v>41851</v>
      </c>
      <c r="T7" s="9">
        <v>41852</v>
      </c>
      <c r="U7" s="9">
        <v>41853</v>
      </c>
    </row>
    <row r="8" spans="1:21" x14ac:dyDescent="0.15">
      <c r="A8" s="20" t="s">
        <v>5</v>
      </c>
      <c r="B8" s="20" t="s">
        <v>7</v>
      </c>
      <c r="C8" s="21">
        <v>200002</v>
      </c>
      <c r="D8" s="22">
        <v>41904</v>
      </c>
      <c r="O8" s="8"/>
      <c r="P8" s="6"/>
      <c r="Q8" s="6"/>
      <c r="R8" s="6"/>
      <c r="S8" s="6"/>
      <c r="T8" s="6"/>
      <c r="U8" s="6"/>
    </row>
    <row r="9" spans="1:21" x14ac:dyDescent="0.15">
      <c r="A9" s="19" t="str">
        <f t="shared" ref="A9" si="0">HYPERLINK("#DATE!A1","OP220-1")</f>
        <v>OP220-1</v>
      </c>
      <c r="B9" s="20" t="s">
        <v>15</v>
      </c>
      <c r="C9" s="21">
        <v>200003</v>
      </c>
      <c r="D9" s="22">
        <v>41905</v>
      </c>
      <c r="O9" s="8"/>
      <c r="P9" s="6"/>
      <c r="Q9" s="6"/>
      <c r="R9" s="6"/>
      <c r="S9" s="6"/>
      <c r="T9" s="6"/>
      <c r="U9" s="6"/>
    </row>
    <row r="10" spans="1:21" x14ac:dyDescent="0.15">
      <c r="A10" s="20" t="s">
        <v>16</v>
      </c>
      <c r="B10" s="20" t="s">
        <v>17</v>
      </c>
      <c r="C10" s="21">
        <v>200004</v>
      </c>
      <c r="D10" s="22">
        <v>41906</v>
      </c>
      <c r="O10" s="8"/>
      <c r="P10" s="6"/>
      <c r="Q10" s="6"/>
      <c r="R10" s="6"/>
      <c r="S10" s="6"/>
      <c r="T10" s="6"/>
      <c r="U10" s="6"/>
    </row>
    <row r="11" spans="1:21" x14ac:dyDescent="0.15">
      <c r="A11" s="20" t="s">
        <v>18</v>
      </c>
      <c r="B11" s="20" t="s">
        <v>19</v>
      </c>
      <c r="C11" s="21">
        <v>200005</v>
      </c>
      <c r="D11" s="22">
        <v>41907</v>
      </c>
      <c r="O11" s="8"/>
      <c r="P11" s="6"/>
      <c r="Q11" s="6"/>
      <c r="R11" s="6"/>
      <c r="S11" s="6"/>
      <c r="T11" s="6"/>
      <c r="U11" s="6"/>
    </row>
    <row r="12" spans="1:21" x14ac:dyDescent="0.15">
      <c r="A12" s="19" t="str">
        <f t="shared" ref="A12" si="1">HYPERLINK("#DATE!A1","OP220-1")</f>
        <v>OP220-1</v>
      </c>
      <c r="B12" s="20" t="s">
        <v>20</v>
      </c>
      <c r="C12" s="21">
        <v>200006</v>
      </c>
      <c r="D12" s="22">
        <v>41908</v>
      </c>
      <c r="O12" s="9">
        <v>41854</v>
      </c>
      <c r="P12" s="9">
        <v>41855</v>
      </c>
      <c r="Q12" s="9">
        <v>41856</v>
      </c>
      <c r="R12" s="9">
        <v>41857</v>
      </c>
      <c r="S12" s="9">
        <v>41858</v>
      </c>
      <c r="T12" s="9">
        <v>41859</v>
      </c>
      <c r="U12" s="9">
        <v>41860</v>
      </c>
    </row>
    <row r="13" spans="1:21" x14ac:dyDescent="0.15">
      <c r="A13" s="20" t="s">
        <v>21</v>
      </c>
      <c r="B13" s="20" t="s">
        <v>22</v>
      </c>
      <c r="C13" s="21">
        <v>200007</v>
      </c>
      <c r="D13" s="22">
        <v>41909</v>
      </c>
      <c r="O13" s="7"/>
      <c r="P13" s="7"/>
      <c r="Q13" s="7"/>
      <c r="R13" s="26" t="str">
        <f>HYPERLINK("#成品!A6","OP212")</f>
        <v>OP212</v>
      </c>
      <c r="S13" s="26" t="str">
        <f>HYPERLINK("#成品!A7","OP212")</f>
        <v>OP212</v>
      </c>
      <c r="T13" s="26" t="str">
        <f>HYPERLINK("#成品!A8","OP212")</f>
        <v>OP212</v>
      </c>
      <c r="U13" s="26" t="str">
        <f>HYPERLINK("#成品!A9","OP212")</f>
        <v>OP212</v>
      </c>
    </row>
    <row r="14" spans="1:21" x14ac:dyDescent="0.15">
      <c r="A14" s="20" t="s">
        <v>23</v>
      </c>
      <c r="B14" s="20" t="s">
        <v>24</v>
      </c>
      <c r="C14" s="21">
        <v>200008</v>
      </c>
      <c r="D14" s="22">
        <v>41910</v>
      </c>
      <c r="O14" s="7"/>
      <c r="P14" s="7"/>
      <c r="Q14" s="7"/>
      <c r="R14" s="7"/>
      <c r="S14" s="7"/>
      <c r="T14" s="7"/>
      <c r="U14" s="7"/>
    </row>
    <row r="15" spans="1:21" x14ac:dyDescent="0.15">
      <c r="A15" s="19" t="str">
        <f t="shared" ref="A15" si="2">HYPERLINK("#DATE!A1","OP220-1")</f>
        <v>OP220-1</v>
      </c>
      <c r="B15" s="20" t="s">
        <v>25</v>
      </c>
      <c r="C15" s="21">
        <v>200009</v>
      </c>
      <c r="D15" s="22">
        <v>41911</v>
      </c>
      <c r="O15" s="7"/>
      <c r="P15" s="7"/>
      <c r="Q15" s="7"/>
      <c r="R15" s="7"/>
      <c r="S15" s="7"/>
      <c r="T15" s="7"/>
      <c r="U15" s="7"/>
    </row>
    <row r="16" spans="1:21" x14ac:dyDescent="0.15">
      <c r="A16" s="20" t="s">
        <v>26</v>
      </c>
      <c r="B16" s="20" t="s">
        <v>27</v>
      </c>
      <c r="C16" s="21">
        <v>200010</v>
      </c>
      <c r="D16" s="22">
        <v>41912</v>
      </c>
      <c r="O16" s="9">
        <v>41861</v>
      </c>
      <c r="P16" s="9">
        <v>41862</v>
      </c>
      <c r="Q16" s="9">
        <v>41863</v>
      </c>
      <c r="R16" s="9">
        <v>41864</v>
      </c>
      <c r="S16" s="9">
        <v>41865</v>
      </c>
      <c r="T16" s="9">
        <v>41866</v>
      </c>
      <c r="U16" s="9">
        <v>41867</v>
      </c>
    </row>
    <row r="17" spans="1:21" x14ac:dyDescent="0.15">
      <c r="A17" s="20" t="s">
        <v>28</v>
      </c>
      <c r="B17" s="20" t="s">
        <v>29</v>
      </c>
      <c r="C17" s="21">
        <v>200011</v>
      </c>
      <c r="D17" s="22">
        <v>41913</v>
      </c>
      <c r="O17" s="8" t="str">
        <f>HYPERLINK("#成品!A10","OP212")</f>
        <v>OP212</v>
      </c>
      <c r="P17" s="8" t="str">
        <f>HYPERLINK("#成品!A11","OP212")</f>
        <v>OP212</v>
      </c>
      <c r="Q17" s="8" t="str">
        <f>HYPERLINK("#成品!A12","OP212")</f>
        <v>OP212</v>
      </c>
      <c r="R17" s="8" t="str">
        <f>HYPERLINK("#成品!A13","OP212")</f>
        <v>OP212</v>
      </c>
      <c r="S17" s="8" t="str">
        <f>HYPERLINK("#成品!A14","OP212")</f>
        <v>OP212</v>
      </c>
      <c r="T17" s="8" t="str">
        <f>HYPERLINK("#成品!A15","OP212")</f>
        <v>OP212</v>
      </c>
      <c r="U17" s="8" t="str">
        <f>HYPERLINK("#成品!A16","OP212")</f>
        <v>OP212</v>
      </c>
    </row>
    <row r="18" spans="1:21" x14ac:dyDescent="0.15">
      <c r="A18" s="19" t="str">
        <f t="shared" ref="A18" si="3">HYPERLINK("#DATE!A1","OP220-1")</f>
        <v>OP220-1</v>
      </c>
      <c r="B18" s="20" t="s">
        <v>30</v>
      </c>
      <c r="C18" s="21">
        <v>200012</v>
      </c>
      <c r="D18" s="22">
        <v>41914</v>
      </c>
      <c r="O18" s="6"/>
      <c r="P18" s="6"/>
      <c r="Q18" s="6"/>
      <c r="R18" s="6"/>
      <c r="S18" s="6"/>
      <c r="T18" s="6"/>
      <c r="U18" s="6"/>
    </row>
    <row r="19" spans="1:21" x14ac:dyDescent="0.15">
      <c r="A19" s="20" t="s">
        <v>31</v>
      </c>
      <c r="B19" s="20" t="s">
        <v>32</v>
      </c>
      <c r="C19" s="21">
        <v>200013</v>
      </c>
      <c r="D19" s="22">
        <v>41915</v>
      </c>
      <c r="O19" s="6"/>
      <c r="P19" s="6"/>
      <c r="Q19" s="6"/>
      <c r="R19" s="6"/>
      <c r="S19" s="6"/>
      <c r="T19" s="6"/>
      <c r="U19" s="6"/>
    </row>
    <row r="20" spans="1:21" x14ac:dyDescent="0.15">
      <c r="A20" s="20" t="s">
        <v>33</v>
      </c>
      <c r="B20" s="20" t="s">
        <v>34</v>
      </c>
      <c r="C20" s="21">
        <v>200014</v>
      </c>
      <c r="D20" s="22">
        <v>41916</v>
      </c>
      <c r="O20" s="9">
        <v>41868</v>
      </c>
      <c r="P20" s="9">
        <v>41869</v>
      </c>
      <c r="Q20" s="9">
        <v>41870</v>
      </c>
      <c r="R20" s="9">
        <v>41871</v>
      </c>
      <c r="S20" s="9">
        <v>41872</v>
      </c>
      <c r="T20" s="9">
        <v>41873</v>
      </c>
      <c r="U20" s="9">
        <v>41874</v>
      </c>
    </row>
    <row r="21" spans="1:21" x14ac:dyDescent="0.15">
      <c r="A21" s="19" t="str">
        <f t="shared" ref="A21" si="4">HYPERLINK("#DATE!A1","OP220-1")</f>
        <v>OP220-1</v>
      </c>
      <c r="B21" s="20" t="s">
        <v>35</v>
      </c>
      <c r="C21" s="21">
        <v>200015</v>
      </c>
      <c r="D21" s="22">
        <v>41917</v>
      </c>
      <c r="O21" s="8" t="str">
        <f>HYPERLINK("#成品!A17","OP212")</f>
        <v>OP212</v>
      </c>
      <c r="P21" s="8" t="str">
        <f>HYPERLINK("#成品!A18","OP212")</f>
        <v>OP212</v>
      </c>
      <c r="Q21" s="8" t="str">
        <f>HYPERLINK("#成品!A19","OP212")</f>
        <v>OP212</v>
      </c>
      <c r="R21" s="8" t="str">
        <f>HYPERLINK("#成品!A20","OP212")</f>
        <v>OP212</v>
      </c>
      <c r="S21" s="8" t="str">
        <f>HYPERLINK("#成品!A21","OP212")</f>
        <v>OP212</v>
      </c>
      <c r="T21" s="8" t="str">
        <f>HYPERLINK("#成品!A22","OP212")</f>
        <v>OP212</v>
      </c>
      <c r="U21" s="8" t="str">
        <f>HYPERLINK("#成品!A23","OP212")</f>
        <v>OP212</v>
      </c>
    </row>
    <row r="22" spans="1:21" x14ac:dyDescent="0.15">
      <c r="A22" s="20" t="s">
        <v>36</v>
      </c>
      <c r="B22" s="20" t="s">
        <v>37</v>
      </c>
      <c r="C22" s="21">
        <v>200016</v>
      </c>
      <c r="D22" s="22">
        <v>41918</v>
      </c>
      <c r="O22" s="6"/>
      <c r="P22" s="6"/>
      <c r="Q22" s="6"/>
      <c r="R22" s="6"/>
      <c r="S22" s="6"/>
      <c r="T22" s="6"/>
      <c r="U22" s="6"/>
    </row>
    <row r="23" spans="1:21" x14ac:dyDescent="0.15">
      <c r="A23" s="20" t="s">
        <v>38</v>
      </c>
      <c r="B23" s="20" t="s">
        <v>39</v>
      </c>
      <c r="C23" s="21">
        <v>200017</v>
      </c>
      <c r="D23" s="22">
        <v>41919</v>
      </c>
      <c r="O23" s="6"/>
      <c r="P23" s="6"/>
      <c r="Q23" s="6"/>
      <c r="R23" s="6"/>
      <c r="S23" s="6"/>
      <c r="T23" s="6"/>
      <c r="U23" s="6"/>
    </row>
    <row r="24" spans="1:21" x14ac:dyDescent="0.15">
      <c r="A24" s="19" t="str">
        <f t="shared" ref="A24" si="5">HYPERLINK("#DATE!A1","OP220-1")</f>
        <v>OP220-1</v>
      </c>
      <c r="B24" s="20" t="s">
        <v>40</v>
      </c>
      <c r="C24" s="21">
        <v>200018</v>
      </c>
      <c r="D24" s="22">
        <v>41920</v>
      </c>
      <c r="O24" s="24">
        <v>41882</v>
      </c>
      <c r="P24" s="24"/>
      <c r="Q24" s="24"/>
      <c r="R24" s="24"/>
      <c r="S24" s="24"/>
      <c r="T24" s="24"/>
      <c r="U24" s="24"/>
    </row>
    <row r="25" spans="1:21" x14ac:dyDescent="0.15">
      <c r="A25" s="20" t="s">
        <v>41</v>
      </c>
      <c r="B25" s="20" t="s">
        <v>42</v>
      </c>
      <c r="C25" s="21">
        <v>200019</v>
      </c>
      <c r="D25" s="22">
        <v>41921</v>
      </c>
      <c r="O25" s="8" t="str">
        <f>HYPERLINK("#成品!A24","OP212")</f>
        <v>OP212</v>
      </c>
      <c r="P25" s="6"/>
      <c r="Q25" s="6"/>
      <c r="R25" s="6"/>
      <c r="S25" s="6"/>
      <c r="T25" s="6"/>
      <c r="U25" s="6"/>
    </row>
    <row r="26" spans="1:21" x14ac:dyDescent="0.15">
      <c r="A26" s="20" t="s">
        <v>43</v>
      </c>
      <c r="B26" s="20" t="s">
        <v>44</v>
      </c>
      <c r="C26" s="21">
        <v>200020</v>
      </c>
      <c r="D26" s="22">
        <v>41922</v>
      </c>
      <c r="O26" s="6"/>
      <c r="P26" s="6"/>
      <c r="Q26" s="6"/>
      <c r="R26" s="6"/>
      <c r="S26" s="6"/>
      <c r="T26" s="6"/>
      <c r="U26" s="6"/>
    </row>
    <row r="27" spans="1:21" x14ac:dyDescent="0.15">
      <c r="A27" s="19" t="str">
        <f t="shared" ref="A27" si="6">HYPERLINK("#DATE!A1","OP220-1")</f>
        <v>OP220-1</v>
      </c>
      <c r="B27" s="20" t="s">
        <v>45</v>
      </c>
      <c r="C27" s="21">
        <v>200021</v>
      </c>
      <c r="D27" s="22">
        <v>41923</v>
      </c>
      <c r="O27" s="6"/>
      <c r="P27" s="6"/>
      <c r="Q27" s="6"/>
      <c r="R27" s="14"/>
      <c r="S27" s="14"/>
      <c r="T27" s="14"/>
      <c r="U27" s="14"/>
    </row>
    <row r="28" spans="1:21" ht="20.25" customHeight="1" x14ac:dyDescent="0.15">
      <c r="A28" s="20" t="s">
        <v>46</v>
      </c>
      <c r="B28" s="20" t="s">
        <v>47</v>
      </c>
      <c r="C28" s="21">
        <v>200022</v>
      </c>
      <c r="D28" s="22">
        <v>41924</v>
      </c>
      <c r="O28" s="29" t="s">
        <v>319</v>
      </c>
      <c r="P28" s="30"/>
      <c r="Q28" s="30"/>
      <c r="R28" s="30"/>
      <c r="S28" s="30"/>
      <c r="T28" s="30"/>
      <c r="U28" s="30"/>
    </row>
    <row r="29" spans="1:21" x14ac:dyDescent="0.15">
      <c r="A29" s="20" t="s">
        <v>48</v>
      </c>
      <c r="B29" s="20" t="s">
        <v>49</v>
      </c>
      <c r="C29" s="21">
        <v>200023</v>
      </c>
      <c r="D29" s="22">
        <v>41925</v>
      </c>
      <c r="O29" s="5" t="s">
        <v>14</v>
      </c>
      <c r="P29" s="5" t="s">
        <v>8</v>
      </c>
      <c r="Q29" s="5" t="s">
        <v>9</v>
      </c>
      <c r="R29" s="5" t="s">
        <v>10</v>
      </c>
      <c r="S29" s="5" t="s">
        <v>11</v>
      </c>
      <c r="T29" s="5" t="s">
        <v>12</v>
      </c>
      <c r="U29" s="5" t="s">
        <v>13</v>
      </c>
    </row>
    <row r="30" spans="1:21" x14ac:dyDescent="0.15">
      <c r="A30" s="19" t="str">
        <f t="shared" ref="A30" si="7">HYPERLINK("#DATE!A1","OP220-1")</f>
        <v>OP220-1</v>
      </c>
      <c r="B30" s="20" t="s">
        <v>50</v>
      </c>
      <c r="C30" s="21">
        <v>200024</v>
      </c>
      <c r="D30" s="22">
        <v>41926</v>
      </c>
      <c r="O30" s="9"/>
      <c r="P30" s="9">
        <v>41883</v>
      </c>
      <c r="Q30" s="9">
        <v>41884</v>
      </c>
      <c r="R30" s="9">
        <v>41885</v>
      </c>
      <c r="S30" s="9">
        <v>41886</v>
      </c>
      <c r="T30" s="9">
        <v>41887</v>
      </c>
      <c r="U30" s="9">
        <v>41888</v>
      </c>
    </row>
    <row r="31" spans="1:21" x14ac:dyDescent="0.15">
      <c r="A31" s="20" t="s">
        <v>51</v>
      </c>
      <c r="B31" s="20" t="s">
        <v>52</v>
      </c>
      <c r="C31" s="21">
        <v>200025</v>
      </c>
      <c r="D31" s="22">
        <v>41927</v>
      </c>
      <c r="O31" s="6"/>
      <c r="P31" s="8" t="str">
        <f>HYPERLINK("#成品!A25","OP212")</f>
        <v>OP212</v>
      </c>
      <c r="Q31" s="8" t="str">
        <f>HYPERLINK("#成品!A26","OP212")</f>
        <v>OP212</v>
      </c>
      <c r="R31" s="8" t="str">
        <f>HYPERLINK("#成品!A27","OP212")</f>
        <v>OP212</v>
      </c>
      <c r="S31" s="8" t="str">
        <f>HYPERLINK("#成品!A28","OP212")</f>
        <v>OP212</v>
      </c>
      <c r="T31" s="8" t="str">
        <f>HYPERLINK("#成品!A29","OP212")</f>
        <v>OP212</v>
      </c>
      <c r="U31" s="8" t="str">
        <f>HYPERLINK("#成品!A30","OP212")</f>
        <v>OP212</v>
      </c>
    </row>
    <row r="32" spans="1:21" x14ac:dyDescent="0.15">
      <c r="A32" s="20" t="s">
        <v>53</v>
      </c>
      <c r="B32" s="20" t="s">
        <v>54</v>
      </c>
      <c r="C32" s="21">
        <v>200026</v>
      </c>
      <c r="D32" s="22">
        <v>41928</v>
      </c>
      <c r="O32" s="6"/>
      <c r="P32" s="6"/>
      <c r="Q32" s="6"/>
      <c r="R32" s="6"/>
      <c r="S32" s="6"/>
      <c r="T32" s="6"/>
      <c r="U32" s="6"/>
    </row>
    <row r="33" spans="1:21" x14ac:dyDescent="0.15">
      <c r="A33" s="19" t="str">
        <f t="shared" ref="A33" si="8">HYPERLINK("#DATE!A1","OP220-1")</f>
        <v>OP220-1</v>
      </c>
      <c r="B33" s="20" t="s">
        <v>55</v>
      </c>
      <c r="C33" s="21">
        <v>200027</v>
      </c>
      <c r="D33" s="22">
        <v>41929</v>
      </c>
      <c r="O33" s="6"/>
      <c r="P33" s="6"/>
      <c r="Q33" s="6"/>
      <c r="R33" s="6"/>
      <c r="S33" s="6"/>
      <c r="T33" s="6"/>
      <c r="U33" s="6"/>
    </row>
    <row r="34" spans="1:21" x14ac:dyDescent="0.15">
      <c r="A34" s="20" t="s">
        <v>56</v>
      </c>
      <c r="B34" s="20" t="s">
        <v>57</v>
      </c>
      <c r="C34" s="21">
        <v>200028</v>
      </c>
      <c r="D34" s="22">
        <v>41930</v>
      </c>
      <c r="O34" s="9">
        <v>41889</v>
      </c>
      <c r="P34" s="9">
        <v>41890</v>
      </c>
      <c r="Q34" s="9">
        <v>41891</v>
      </c>
      <c r="R34" s="9">
        <v>41892</v>
      </c>
      <c r="S34" s="9">
        <v>41893</v>
      </c>
      <c r="T34" s="9">
        <v>41894</v>
      </c>
      <c r="U34" s="9">
        <v>41895</v>
      </c>
    </row>
    <row r="35" spans="1:21" x14ac:dyDescent="0.15">
      <c r="A35" s="20" t="s">
        <v>58</v>
      </c>
      <c r="B35" s="20" t="s">
        <v>59</v>
      </c>
      <c r="C35" s="21">
        <v>200029</v>
      </c>
      <c r="D35" s="22">
        <v>41931</v>
      </c>
      <c r="O35" s="8" t="str">
        <f>HYPERLINK("#成品!A31","OP212")</f>
        <v>OP212</v>
      </c>
      <c r="P35" s="8" t="str">
        <f>HYPERLINK("#成品!A32","OP212")</f>
        <v>OP212</v>
      </c>
      <c r="Q35" s="8" t="str">
        <f>HYPERLINK("#成品!A33","OP212")</f>
        <v>OP212</v>
      </c>
      <c r="R35" s="8" t="str">
        <f>HYPERLINK("#成品!A34","OP212")</f>
        <v>OP212</v>
      </c>
      <c r="S35" s="8" t="str">
        <f>HYPERLINK("#成品!A35","OP212")</f>
        <v>OP212</v>
      </c>
      <c r="T35" s="8" t="str">
        <f>HYPERLINK("#成品!A36","OP212")</f>
        <v>OP212</v>
      </c>
      <c r="U35" s="8" t="str">
        <f>HYPERLINK("#成品!A37","OP212")</f>
        <v>OP212</v>
      </c>
    </row>
    <row r="36" spans="1:21" x14ac:dyDescent="0.15">
      <c r="A36" s="19" t="str">
        <f t="shared" ref="A36" si="9">HYPERLINK("#DATE!A1","OP220-1")</f>
        <v>OP220-1</v>
      </c>
      <c r="B36" s="20" t="s">
        <v>60</v>
      </c>
      <c r="C36" s="21">
        <v>200030</v>
      </c>
      <c r="D36" s="22">
        <v>41932</v>
      </c>
      <c r="O36" s="6"/>
      <c r="P36" s="6"/>
      <c r="Q36" s="6"/>
      <c r="R36" s="6"/>
      <c r="S36" s="6"/>
      <c r="T36" s="6"/>
      <c r="U36" s="6"/>
    </row>
    <row r="37" spans="1:21" x14ac:dyDescent="0.15">
      <c r="A37" s="20" t="s">
        <v>61</v>
      </c>
      <c r="B37" s="20" t="s">
        <v>62</v>
      </c>
      <c r="C37" s="21">
        <v>200031</v>
      </c>
      <c r="D37" s="22">
        <v>41933</v>
      </c>
      <c r="O37" s="6"/>
      <c r="P37" s="6"/>
      <c r="Q37" s="6"/>
      <c r="R37" s="6"/>
      <c r="S37" s="6"/>
      <c r="T37" s="6"/>
      <c r="U37" s="6"/>
    </row>
    <row r="38" spans="1:21" x14ac:dyDescent="0.15">
      <c r="A38" s="20" t="s">
        <v>63</v>
      </c>
      <c r="B38" s="20" t="s">
        <v>64</v>
      </c>
      <c r="C38" s="21">
        <v>200032</v>
      </c>
      <c r="D38" s="22">
        <v>41934</v>
      </c>
      <c r="O38" s="9">
        <v>41896</v>
      </c>
      <c r="P38" s="9">
        <v>41897</v>
      </c>
      <c r="Q38" s="9">
        <v>41898</v>
      </c>
      <c r="R38" s="9">
        <v>41899</v>
      </c>
      <c r="S38" s="9">
        <v>41900</v>
      </c>
      <c r="T38" s="9">
        <v>41901</v>
      </c>
      <c r="U38" s="9">
        <v>41902</v>
      </c>
    </row>
    <row r="39" spans="1:21" x14ac:dyDescent="0.15">
      <c r="A39" s="19" t="str">
        <f t="shared" ref="A39" si="10">HYPERLINK("#DATE!A1","OP220-1")</f>
        <v>OP220-1</v>
      </c>
      <c r="B39" s="20" t="s">
        <v>65</v>
      </c>
      <c r="C39" s="21">
        <v>200033</v>
      </c>
      <c r="D39" s="22">
        <v>41935</v>
      </c>
      <c r="O39" s="8">
        <f>HYPERLINK("#成品!A38",)</f>
        <v>0</v>
      </c>
      <c r="P39" s="8">
        <f>HYPERLINK("#成品!A39",)</f>
        <v>0</v>
      </c>
      <c r="Q39" s="8">
        <f>HYPERLINK("#成品!A40",)</f>
        <v>0</v>
      </c>
      <c r="R39" s="8">
        <f>HYPERLINK("#成品!A41",)</f>
        <v>0</v>
      </c>
      <c r="S39" s="8">
        <f>HYPERLINK("#成品!A42",)</f>
        <v>0</v>
      </c>
      <c r="T39" s="8">
        <f>HYPERLINK("#成品!A43",)</f>
        <v>0</v>
      </c>
      <c r="U39" s="8">
        <f>HYPERLINK("#成品!A44",)</f>
        <v>0</v>
      </c>
    </row>
    <row r="40" spans="1:21" x14ac:dyDescent="0.15">
      <c r="A40" s="20" t="s">
        <v>66</v>
      </c>
      <c r="B40" s="20" t="s">
        <v>67</v>
      </c>
      <c r="C40" s="21">
        <v>200034</v>
      </c>
      <c r="D40" s="22">
        <v>41936</v>
      </c>
      <c r="O40" s="6"/>
      <c r="P40" s="6"/>
      <c r="Q40" s="6"/>
      <c r="R40" s="6"/>
      <c r="S40" s="6"/>
      <c r="T40" s="6"/>
      <c r="U40" s="6"/>
    </row>
    <row r="41" spans="1:21" x14ac:dyDescent="0.15">
      <c r="A41" s="20" t="s">
        <v>68</v>
      </c>
      <c r="B41" s="20" t="s">
        <v>69</v>
      </c>
      <c r="C41" s="21">
        <v>200035</v>
      </c>
      <c r="D41" s="22">
        <v>41937</v>
      </c>
      <c r="O41" s="6"/>
      <c r="P41" s="6"/>
      <c r="Q41" s="6"/>
      <c r="R41" s="6"/>
      <c r="S41" s="6"/>
      <c r="T41" s="6"/>
      <c r="U41" s="6"/>
    </row>
    <row r="42" spans="1:21" x14ac:dyDescent="0.15">
      <c r="A42" s="19" t="str">
        <f t="shared" ref="A42" si="11">HYPERLINK("#DATE!A1","OP220-1")</f>
        <v>OP220-1</v>
      </c>
      <c r="B42" s="20" t="s">
        <v>70</v>
      </c>
      <c r="C42" s="21">
        <v>200036</v>
      </c>
      <c r="D42" s="22">
        <v>41938</v>
      </c>
      <c r="O42" s="9">
        <v>41903</v>
      </c>
      <c r="P42" s="9">
        <v>41904</v>
      </c>
      <c r="Q42" s="9">
        <v>41905</v>
      </c>
      <c r="R42" s="9">
        <v>41906</v>
      </c>
      <c r="S42" s="9">
        <v>41907</v>
      </c>
      <c r="T42" s="9">
        <v>41908</v>
      </c>
      <c r="U42" s="9">
        <v>41909</v>
      </c>
    </row>
    <row r="43" spans="1:21" x14ac:dyDescent="0.15">
      <c r="A43" s="20" t="s">
        <v>71</v>
      </c>
      <c r="B43" s="20" t="s">
        <v>72</v>
      </c>
      <c r="C43" s="21">
        <v>200037</v>
      </c>
      <c r="D43" s="22">
        <v>41939</v>
      </c>
      <c r="O43" s="8">
        <f>HYPERLINK("#成品!A45",)</f>
        <v>0</v>
      </c>
      <c r="P43" s="8">
        <f>HYPERLINK("#成品!A46",)</f>
        <v>0</v>
      </c>
      <c r="Q43" s="8">
        <f>HYPERLINK("#成品!A47",)</f>
        <v>0</v>
      </c>
      <c r="R43" s="8">
        <f>HYPERLINK("#成品!A48",)</f>
        <v>0</v>
      </c>
      <c r="S43" s="8">
        <f>HYPERLINK("#成品!A49",)</f>
        <v>0</v>
      </c>
      <c r="T43" s="8">
        <f>HYPERLINK("#成品!A50",)</f>
        <v>0</v>
      </c>
      <c r="U43" s="8">
        <f>HYPERLINK("#成品!A51",)</f>
        <v>0</v>
      </c>
    </row>
    <row r="44" spans="1:21" x14ac:dyDescent="0.15">
      <c r="A44" s="20" t="s">
        <v>73</v>
      </c>
      <c r="B44" s="20" t="s">
        <v>74</v>
      </c>
      <c r="C44" s="21">
        <v>200038</v>
      </c>
      <c r="D44" s="22">
        <v>41940</v>
      </c>
      <c r="O44" s="6"/>
      <c r="P44" s="6"/>
      <c r="Q44" s="6"/>
      <c r="R44" s="6"/>
      <c r="S44" s="6"/>
      <c r="T44" s="6"/>
      <c r="U44" s="6"/>
    </row>
    <row r="45" spans="1:21" x14ac:dyDescent="0.15">
      <c r="A45" s="19" t="str">
        <f t="shared" ref="A45" si="12">HYPERLINK("#DATE!A1","OP220-1")</f>
        <v>OP220-1</v>
      </c>
      <c r="B45" s="20" t="s">
        <v>75</v>
      </c>
      <c r="C45" s="21">
        <v>200039</v>
      </c>
      <c r="D45" s="22">
        <v>41941</v>
      </c>
      <c r="O45" s="6"/>
      <c r="P45" s="6"/>
      <c r="Q45" s="6"/>
      <c r="R45" s="6"/>
      <c r="S45" s="6"/>
      <c r="T45" s="6"/>
      <c r="U45" s="6"/>
    </row>
    <row r="46" spans="1:21" x14ac:dyDescent="0.15">
      <c r="A46" s="20" t="s">
        <v>76</v>
      </c>
      <c r="B46" s="20" t="s">
        <v>77</v>
      </c>
      <c r="C46" s="21">
        <v>200040</v>
      </c>
      <c r="D46" s="22">
        <v>41942</v>
      </c>
      <c r="O46" s="9">
        <v>41910</v>
      </c>
      <c r="P46" s="9">
        <v>41911</v>
      </c>
      <c r="Q46" s="9">
        <v>41912</v>
      </c>
      <c r="R46" s="9"/>
      <c r="S46" s="9"/>
      <c r="T46" s="9"/>
      <c r="U46" s="9"/>
    </row>
    <row r="47" spans="1:21" x14ac:dyDescent="0.15">
      <c r="A47" s="20" t="s">
        <v>78</v>
      </c>
      <c r="B47" s="20" t="s">
        <v>79</v>
      </c>
      <c r="C47" s="21">
        <v>200041</v>
      </c>
      <c r="D47" s="22">
        <v>41943</v>
      </c>
      <c r="O47" s="8">
        <f>HYPERLINK("#成品!A52",)</f>
        <v>0</v>
      </c>
      <c r="P47" s="8">
        <f>HYPERLINK("#成品!A53",)</f>
        <v>0</v>
      </c>
      <c r="Q47" s="8">
        <f>HYPERLINK("#成品!A54",)</f>
        <v>0</v>
      </c>
      <c r="R47" s="6"/>
      <c r="S47" s="6"/>
      <c r="T47" s="6"/>
      <c r="U47" s="6"/>
    </row>
    <row r="48" spans="1:21" x14ac:dyDescent="0.15">
      <c r="A48" s="19" t="str">
        <f t="shared" ref="A48" si="13">HYPERLINK("#DATE!A1","OP220-1")</f>
        <v>OP220-1</v>
      </c>
      <c r="B48" s="20" t="s">
        <v>80</v>
      </c>
      <c r="C48" s="21">
        <v>200042</v>
      </c>
      <c r="D48" s="22">
        <v>41944</v>
      </c>
      <c r="O48" s="6"/>
      <c r="P48" s="6"/>
      <c r="Q48" s="6"/>
      <c r="R48" s="6"/>
      <c r="S48" s="6"/>
      <c r="T48" s="6"/>
      <c r="U48" s="6"/>
    </row>
    <row r="49" spans="1:21" x14ac:dyDescent="0.15">
      <c r="A49" s="20" t="s">
        <v>81</v>
      </c>
      <c r="B49" s="20" t="s">
        <v>82</v>
      </c>
      <c r="C49" s="21">
        <v>200043</v>
      </c>
      <c r="D49" s="22">
        <v>41945</v>
      </c>
      <c r="O49" s="6"/>
      <c r="P49" s="6"/>
      <c r="Q49" s="6"/>
      <c r="R49" s="6"/>
      <c r="S49" s="6"/>
      <c r="T49" s="6"/>
      <c r="U49" s="6"/>
    </row>
    <row r="50" spans="1:21" x14ac:dyDescent="0.15">
      <c r="A50" s="20" t="s">
        <v>83</v>
      </c>
      <c r="B50" s="20" t="s">
        <v>84</v>
      </c>
      <c r="C50" s="21">
        <v>200044</v>
      </c>
      <c r="D50" s="22">
        <v>41946</v>
      </c>
    </row>
    <row r="51" spans="1:21" x14ac:dyDescent="0.15">
      <c r="A51" s="19" t="str">
        <f t="shared" ref="A51" si="14">HYPERLINK("#DATE!A1","OP220-1")</f>
        <v>OP220-1</v>
      </c>
      <c r="B51" s="20" t="s">
        <v>85</v>
      </c>
      <c r="C51" s="21">
        <v>200045</v>
      </c>
      <c r="D51" s="22">
        <v>41947</v>
      </c>
    </row>
    <row r="52" spans="1:21" x14ac:dyDescent="0.15">
      <c r="A52" s="20" t="s">
        <v>86</v>
      </c>
      <c r="B52" s="20" t="s">
        <v>87</v>
      </c>
      <c r="C52" s="21">
        <v>200046</v>
      </c>
      <c r="D52" s="22">
        <v>41948</v>
      </c>
    </row>
    <row r="53" spans="1:21" x14ac:dyDescent="0.15">
      <c r="A53" s="20" t="s">
        <v>88</v>
      </c>
      <c r="B53" s="20" t="s">
        <v>89</v>
      </c>
      <c r="C53" s="21">
        <v>200047</v>
      </c>
      <c r="D53" s="22">
        <v>41949</v>
      </c>
    </row>
    <row r="54" spans="1:21" x14ac:dyDescent="0.15">
      <c r="A54" s="19" t="str">
        <f t="shared" ref="A54" si="15">HYPERLINK("#DATE!A1","OP220-1")</f>
        <v>OP220-1</v>
      </c>
      <c r="B54" s="20" t="s">
        <v>90</v>
      </c>
      <c r="C54" s="21">
        <v>200048</v>
      </c>
      <c r="D54" s="22">
        <v>41950</v>
      </c>
    </row>
    <row r="55" spans="1:21" x14ac:dyDescent="0.15">
      <c r="A55" s="20" t="s">
        <v>91</v>
      </c>
      <c r="B55" s="20" t="s">
        <v>92</v>
      </c>
      <c r="C55" s="21">
        <v>200049</v>
      </c>
      <c r="D55" s="22">
        <v>41951</v>
      </c>
    </row>
    <row r="56" spans="1:21" x14ac:dyDescent="0.15">
      <c r="A56" s="20" t="s">
        <v>93</v>
      </c>
      <c r="B56" s="20" t="s">
        <v>94</v>
      </c>
      <c r="C56" s="21">
        <v>200050</v>
      </c>
      <c r="D56" s="22">
        <v>41952</v>
      </c>
    </row>
    <row r="57" spans="1:21" x14ac:dyDescent="0.15">
      <c r="A57" s="19" t="str">
        <f t="shared" ref="A57" si="16">HYPERLINK("#DATE!A1","OP220-1")</f>
        <v>OP220-1</v>
      </c>
      <c r="B57" s="20" t="s">
        <v>95</v>
      </c>
      <c r="C57" s="21">
        <v>200051</v>
      </c>
      <c r="D57" s="22">
        <v>41953</v>
      </c>
    </row>
    <row r="58" spans="1:21" x14ac:dyDescent="0.15">
      <c r="A58" s="20" t="s">
        <v>96</v>
      </c>
      <c r="B58" s="20" t="s">
        <v>97</v>
      </c>
      <c r="C58" s="21">
        <v>200052</v>
      </c>
      <c r="D58" s="22">
        <v>41954</v>
      </c>
    </row>
    <row r="59" spans="1:21" x14ac:dyDescent="0.15">
      <c r="A59" s="20" t="s">
        <v>98</v>
      </c>
      <c r="B59" s="20" t="s">
        <v>99</v>
      </c>
      <c r="C59" s="21">
        <v>200053</v>
      </c>
      <c r="D59" s="22">
        <v>41955</v>
      </c>
    </row>
    <row r="60" spans="1:21" x14ac:dyDescent="0.15">
      <c r="A60" s="19" t="str">
        <f t="shared" ref="A60" si="17">HYPERLINK("#DATE!A1","OP220-1")</f>
        <v>OP220-1</v>
      </c>
      <c r="B60" s="20" t="s">
        <v>100</v>
      </c>
      <c r="C60" s="21">
        <v>200054</v>
      </c>
      <c r="D60" s="22">
        <v>41956</v>
      </c>
    </row>
    <row r="61" spans="1:21" x14ac:dyDescent="0.15">
      <c r="A61" s="20" t="s">
        <v>101</v>
      </c>
      <c r="B61" s="20" t="s">
        <v>102</v>
      </c>
      <c r="C61" s="21">
        <v>200055</v>
      </c>
      <c r="D61" s="22">
        <v>41957</v>
      </c>
    </row>
    <row r="62" spans="1:21" x14ac:dyDescent="0.15">
      <c r="A62" s="20" t="s">
        <v>103</v>
      </c>
      <c r="B62" s="20" t="s">
        <v>104</v>
      </c>
      <c r="C62" s="21">
        <v>200056</v>
      </c>
      <c r="D62" s="22">
        <v>41958</v>
      </c>
    </row>
    <row r="63" spans="1:21" x14ac:dyDescent="0.15">
      <c r="A63" s="19" t="str">
        <f t="shared" ref="A63" si="18">HYPERLINK("#DATE!A1","OP220-1")</f>
        <v>OP220-1</v>
      </c>
      <c r="B63" s="20" t="s">
        <v>105</v>
      </c>
      <c r="C63" s="21">
        <v>200057</v>
      </c>
      <c r="D63" s="22">
        <v>41959</v>
      </c>
    </row>
    <row r="64" spans="1:21" x14ac:dyDescent="0.15">
      <c r="A64" s="20" t="s">
        <v>106</v>
      </c>
      <c r="B64" s="20" t="s">
        <v>107</v>
      </c>
      <c r="C64" s="21">
        <v>200058</v>
      </c>
      <c r="D64" s="22">
        <v>41960</v>
      </c>
    </row>
    <row r="65" spans="1:4" x14ac:dyDescent="0.15">
      <c r="A65" s="20" t="s">
        <v>108</v>
      </c>
      <c r="B65" s="20" t="s">
        <v>109</v>
      </c>
      <c r="C65" s="21">
        <v>200059</v>
      </c>
      <c r="D65" s="22">
        <v>41961</v>
      </c>
    </row>
    <row r="66" spans="1:4" x14ac:dyDescent="0.15">
      <c r="A66" s="19" t="str">
        <f t="shared" ref="A66" si="19">HYPERLINK("#DATE!A1","OP220-1")</f>
        <v>OP220-1</v>
      </c>
      <c r="B66" s="20" t="s">
        <v>110</v>
      </c>
      <c r="C66" s="21">
        <v>200060</v>
      </c>
      <c r="D66" s="22">
        <v>41962</v>
      </c>
    </row>
    <row r="67" spans="1:4" x14ac:dyDescent="0.15">
      <c r="A67" s="20" t="s">
        <v>111</v>
      </c>
      <c r="B67" s="20" t="s">
        <v>112</v>
      </c>
      <c r="C67" s="21">
        <v>200061</v>
      </c>
      <c r="D67" s="22">
        <v>41963</v>
      </c>
    </row>
    <row r="68" spans="1:4" x14ac:dyDescent="0.15">
      <c r="A68" s="20" t="s">
        <v>113</v>
      </c>
      <c r="B68" s="20" t="s">
        <v>114</v>
      </c>
      <c r="C68" s="21">
        <v>200062</v>
      </c>
      <c r="D68" s="22">
        <v>41964</v>
      </c>
    </row>
    <row r="69" spans="1:4" x14ac:dyDescent="0.15">
      <c r="A69" s="19" t="str">
        <f t="shared" ref="A69" si="20">HYPERLINK("#DATE!A1","OP220-1")</f>
        <v>OP220-1</v>
      </c>
      <c r="B69" s="20" t="s">
        <v>115</v>
      </c>
      <c r="C69" s="21">
        <v>200063</v>
      </c>
      <c r="D69" s="22">
        <v>41965</v>
      </c>
    </row>
    <row r="70" spans="1:4" x14ac:dyDescent="0.15">
      <c r="A70" s="20" t="s">
        <v>116</v>
      </c>
      <c r="B70" s="20" t="s">
        <v>117</v>
      </c>
      <c r="C70" s="21">
        <v>200064</v>
      </c>
      <c r="D70" s="22">
        <v>41966</v>
      </c>
    </row>
    <row r="71" spans="1:4" x14ac:dyDescent="0.15">
      <c r="A71" s="20" t="s">
        <v>118</v>
      </c>
      <c r="B71" s="20" t="s">
        <v>119</v>
      </c>
      <c r="C71" s="21">
        <v>200065</v>
      </c>
      <c r="D71" s="22">
        <v>41967</v>
      </c>
    </row>
    <row r="72" spans="1:4" x14ac:dyDescent="0.15">
      <c r="A72" s="19" t="str">
        <f t="shared" ref="A72" si="21">HYPERLINK("#DATE!A1","OP220-1")</f>
        <v>OP220-1</v>
      </c>
      <c r="B72" s="20" t="s">
        <v>120</v>
      </c>
      <c r="C72" s="21">
        <v>200066</v>
      </c>
      <c r="D72" s="22">
        <v>41968</v>
      </c>
    </row>
    <row r="73" spans="1:4" x14ac:dyDescent="0.15">
      <c r="A73" s="20" t="s">
        <v>121</v>
      </c>
      <c r="B73" s="20" t="s">
        <v>122</v>
      </c>
      <c r="C73" s="21">
        <v>200067</v>
      </c>
      <c r="D73" s="22">
        <v>41969</v>
      </c>
    </row>
    <row r="74" spans="1:4" x14ac:dyDescent="0.15">
      <c r="A74" s="20" t="s">
        <v>123</v>
      </c>
      <c r="B74" s="20" t="s">
        <v>124</v>
      </c>
      <c r="C74" s="21">
        <v>200068</v>
      </c>
      <c r="D74" s="22">
        <v>41970</v>
      </c>
    </row>
    <row r="75" spans="1:4" x14ac:dyDescent="0.15">
      <c r="A75" s="19" t="str">
        <f t="shared" ref="A75" si="22">HYPERLINK("#DATE!A1","OP220-1")</f>
        <v>OP220-1</v>
      </c>
      <c r="B75" s="20" t="s">
        <v>125</v>
      </c>
      <c r="C75" s="21">
        <v>200069</v>
      </c>
      <c r="D75" s="22">
        <v>41971</v>
      </c>
    </row>
    <row r="76" spans="1:4" x14ac:dyDescent="0.15">
      <c r="A76" s="20" t="s">
        <v>126</v>
      </c>
      <c r="B76" s="20" t="s">
        <v>127</v>
      </c>
      <c r="C76" s="21">
        <v>200070</v>
      </c>
      <c r="D76" s="22">
        <v>41972</v>
      </c>
    </row>
    <row r="77" spans="1:4" x14ac:dyDescent="0.15">
      <c r="A77" s="20" t="s">
        <v>128</v>
      </c>
      <c r="B77" s="20" t="s">
        <v>129</v>
      </c>
      <c r="C77" s="21">
        <v>200071</v>
      </c>
      <c r="D77" s="22">
        <v>41973</v>
      </c>
    </row>
    <row r="78" spans="1:4" x14ac:dyDescent="0.15">
      <c r="A78" s="19" t="str">
        <f t="shared" ref="A78" si="23">HYPERLINK("#DATE!A1","OP220-1")</f>
        <v>OP220-1</v>
      </c>
      <c r="B78" s="20" t="s">
        <v>130</v>
      </c>
      <c r="C78" s="21">
        <v>200072</v>
      </c>
      <c r="D78" s="22">
        <v>41974</v>
      </c>
    </row>
    <row r="79" spans="1:4" x14ac:dyDescent="0.15">
      <c r="A79" s="20" t="s">
        <v>131</v>
      </c>
      <c r="B79" s="20" t="s">
        <v>132</v>
      </c>
      <c r="C79" s="21">
        <v>200073</v>
      </c>
      <c r="D79" s="22">
        <v>41975</v>
      </c>
    </row>
    <row r="80" spans="1:4" x14ac:dyDescent="0.15">
      <c r="A80" s="20" t="s">
        <v>133</v>
      </c>
      <c r="B80" s="20" t="s">
        <v>134</v>
      </c>
      <c r="C80" s="21">
        <v>200074</v>
      </c>
      <c r="D80" s="22">
        <v>41976</v>
      </c>
    </row>
    <row r="81" spans="1:4" x14ac:dyDescent="0.15">
      <c r="A81" s="19" t="str">
        <f t="shared" ref="A81" si="24">HYPERLINK("#DATE!A1","OP220-1")</f>
        <v>OP220-1</v>
      </c>
      <c r="B81" s="20" t="s">
        <v>135</v>
      </c>
      <c r="C81" s="21">
        <v>200075</v>
      </c>
      <c r="D81" s="22">
        <v>41977</v>
      </c>
    </row>
    <row r="82" spans="1:4" x14ac:dyDescent="0.15">
      <c r="A82" s="20" t="s">
        <v>136</v>
      </c>
      <c r="B82" s="20" t="s">
        <v>137</v>
      </c>
      <c r="C82" s="21">
        <v>200076</v>
      </c>
      <c r="D82" s="22">
        <v>41978</v>
      </c>
    </row>
    <row r="83" spans="1:4" x14ac:dyDescent="0.15">
      <c r="A83" s="20" t="s">
        <v>138</v>
      </c>
      <c r="B83" s="20" t="s">
        <v>139</v>
      </c>
      <c r="C83" s="21">
        <v>200077</v>
      </c>
      <c r="D83" s="22">
        <v>41979</v>
      </c>
    </row>
    <row r="84" spans="1:4" x14ac:dyDescent="0.15">
      <c r="A84" s="19" t="str">
        <f t="shared" ref="A84" si="25">HYPERLINK("#DATE!A1","OP220-1")</f>
        <v>OP220-1</v>
      </c>
      <c r="B84" s="20" t="s">
        <v>140</v>
      </c>
      <c r="C84" s="21">
        <v>200078</v>
      </c>
      <c r="D84" s="22">
        <v>41980</v>
      </c>
    </row>
    <row r="85" spans="1:4" x14ac:dyDescent="0.15">
      <c r="A85" s="20" t="s">
        <v>141</v>
      </c>
      <c r="B85" s="20" t="s">
        <v>142</v>
      </c>
      <c r="C85" s="21">
        <v>200079</v>
      </c>
      <c r="D85" s="22">
        <v>41981</v>
      </c>
    </row>
    <row r="86" spans="1:4" x14ac:dyDescent="0.15">
      <c r="A86" s="20" t="s">
        <v>143</v>
      </c>
      <c r="B86" s="20" t="s">
        <v>144</v>
      </c>
      <c r="C86" s="21">
        <v>200080</v>
      </c>
      <c r="D86" s="22">
        <v>41982</v>
      </c>
    </row>
    <row r="87" spans="1:4" x14ac:dyDescent="0.15">
      <c r="A87" s="19" t="str">
        <f t="shared" ref="A87" si="26">HYPERLINK("#DATE!A1","OP220-1")</f>
        <v>OP220-1</v>
      </c>
      <c r="B87" s="20" t="s">
        <v>145</v>
      </c>
      <c r="C87" s="21">
        <v>200081</v>
      </c>
      <c r="D87" s="22">
        <v>41983</v>
      </c>
    </row>
    <row r="88" spans="1:4" x14ac:dyDescent="0.15">
      <c r="A88" s="20" t="s">
        <v>146</v>
      </c>
      <c r="B88" s="20" t="s">
        <v>147</v>
      </c>
      <c r="C88" s="21">
        <v>200082</v>
      </c>
      <c r="D88" s="22">
        <v>41984</v>
      </c>
    </row>
    <row r="89" spans="1:4" x14ac:dyDescent="0.15">
      <c r="A89" s="20" t="s">
        <v>148</v>
      </c>
      <c r="B89" s="20" t="s">
        <v>149</v>
      </c>
      <c r="C89" s="21">
        <v>200083</v>
      </c>
      <c r="D89" s="22">
        <v>41985</v>
      </c>
    </row>
    <row r="90" spans="1:4" x14ac:dyDescent="0.15">
      <c r="A90" s="19" t="str">
        <f t="shared" ref="A90" si="27">HYPERLINK("#DATE!A1","OP220-1")</f>
        <v>OP220-1</v>
      </c>
      <c r="B90" s="20" t="s">
        <v>150</v>
      </c>
      <c r="C90" s="21">
        <v>200084</v>
      </c>
      <c r="D90" s="22">
        <v>41986</v>
      </c>
    </row>
    <row r="91" spans="1:4" x14ac:dyDescent="0.15">
      <c r="A91" s="20" t="s">
        <v>151</v>
      </c>
      <c r="B91" s="20" t="s">
        <v>152</v>
      </c>
      <c r="C91" s="21">
        <v>200085</v>
      </c>
      <c r="D91" s="22">
        <v>41987</v>
      </c>
    </row>
    <row r="92" spans="1:4" x14ac:dyDescent="0.15">
      <c r="A92" s="20" t="s">
        <v>153</v>
      </c>
      <c r="B92" s="20" t="s">
        <v>154</v>
      </c>
      <c r="C92" s="21">
        <v>200086</v>
      </c>
      <c r="D92" s="22">
        <v>41988</v>
      </c>
    </row>
    <row r="93" spans="1:4" x14ac:dyDescent="0.15">
      <c r="A93" s="19" t="str">
        <f t="shared" ref="A93" si="28">HYPERLINK("#DATE!A1","OP220-1")</f>
        <v>OP220-1</v>
      </c>
      <c r="B93" s="20" t="s">
        <v>155</v>
      </c>
      <c r="C93" s="21">
        <v>200087</v>
      </c>
      <c r="D93" s="22">
        <v>41989</v>
      </c>
    </row>
    <row r="94" spans="1:4" x14ac:dyDescent="0.15">
      <c r="A94" s="20" t="s">
        <v>156</v>
      </c>
      <c r="B94" s="20" t="s">
        <v>157</v>
      </c>
      <c r="C94" s="21">
        <v>200088</v>
      </c>
      <c r="D94" s="22">
        <v>41990</v>
      </c>
    </row>
    <row r="95" spans="1:4" x14ac:dyDescent="0.15">
      <c r="A95" s="20" t="s">
        <v>158</v>
      </c>
      <c r="B95" s="20" t="s">
        <v>159</v>
      </c>
      <c r="C95" s="21">
        <v>200089</v>
      </c>
      <c r="D95" s="22">
        <v>41991</v>
      </c>
    </row>
    <row r="96" spans="1:4" x14ac:dyDescent="0.15">
      <c r="A96" s="19" t="str">
        <f t="shared" ref="A96" si="29">HYPERLINK("#DATE!A1","OP220-1")</f>
        <v>OP220-1</v>
      </c>
      <c r="B96" s="20" t="s">
        <v>160</v>
      </c>
      <c r="C96" s="21">
        <v>200090</v>
      </c>
      <c r="D96" s="22">
        <v>41992</v>
      </c>
    </row>
    <row r="97" spans="1:4" x14ac:dyDescent="0.15">
      <c r="A97" s="20" t="s">
        <v>161</v>
      </c>
      <c r="B97" s="20" t="s">
        <v>162</v>
      </c>
      <c r="C97" s="21">
        <v>200091</v>
      </c>
      <c r="D97" s="22">
        <v>41993</v>
      </c>
    </row>
    <row r="98" spans="1:4" x14ac:dyDescent="0.15">
      <c r="A98" s="20" t="s">
        <v>163</v>
      </c>
      <c r="B98" s="20" t="s">
        <v>164</v>
      </c>
      <c r="C98" s="21">
        <v>200092</v>
      </c>
      <c r="D98" s="22">
        <v>41994</v>
      </c>
    </row>
    <row r="99" spans="1:4" x14ac:dyDescent="0.15">
      <c r="A99" s="19" t="str">
        <f t="shared" ref="A99" si="30">HYPERLINK("#DATE!A1","OP220-1")</f>
        <v>OP220-1</v>
      </c>
      <c r="B99" s="20" t="s">
        <v>165</v>
      </c>
      <c r="C99" s="21">
        <v>200093</v>
      </c>
      <c r="D99" s="22">
        <v>41995</v>
      </c>
    </row>
    <row r="100" spans="1:4" x14ac:dyDescent="0.15">
      <c r="A100" s="20" t="s">
        <v>166</v>
      </c>
      <c r="B100" s="20" t="s">
        <v>167</v>
      </c>
      <c r="C100" s="21">
        <v>200094</v>
      </c>
      <c r="D100" s="22">
        <v>41996</v>
      </c>
    </row>
    <row r="101" spans="1:4" x14ac:dyDescent="0.15">
      <c r="A101" s="20" t="s">
        <v>168</v>
      </c>
      <c r="B101" s="20" t="s">
        <v>169</v>
      </c>
      <c r="C101" s="21">
        <v>200095</v>
      </c>
      <c r="D101" s="22">
        <v>41997</v>
      </c>
    </row>
    <row r="102" spans="1:4" x14ac:dyDescent="0.15">
      <c r="A102" s="19" t="str">
        <f t="shared" ref="A102" si="31">HYPERLINK("#DATE!A1","OP220-1")</f>
        <v>OP220-1</v>
      </c>
      <c r="B102" s="20" t="s">
        <v>170</v>
      </c>
      <c r="C102" s="21">
        <v>200096</v>
      </c>
      <c r="D102" s="22">
        <v>41998</v>
      </c>
    </row>
    <row r="103" spans="1:4" x14ac:dyDescent="0.15">
      <c r="A103" s="20" t="s">
        <v>171</v>
      </c>
      <c r="B103" s="20" t="s">
        <v>172</v>
      </c>
      <c r="C103" s="21">
        <v>200097</v>
      </c>
      <c r="D103" s="22">
        <v>41999</v>
      </c>
    </row>
    <row r="104" spans="1:4" x14ac:dyDescent="0.15">
      <c r="A104" s="20" t="s">
        <v>173</v>
      </c>
      <c r="B104" s="20" t="s">
        <v>174</v>
      </c>
      <c r="C104" s="21">
        <v>200098</v>
      </c>
      <c r="D104" s="22">
        <v>42000</v>
      </c>
    </row>
    <row r="105" spans="1:4" x14ac:dyDescent="0.15">
      <c r="A105" s="19" t="str">
        <f t="shared" ref="A105" si="32">HYPERLINK("#DATE!A1","OP220-1")</f>
        <v>OP220-1</v>
      </c>
      <c r="B105" s="20" t="s">
        <v>175</v>
      </c>
      <c r="C105" s="21">
        <v>200099</v>
      </c>
      <c r="D105" s="22">
        <v>42001</v>
      </c>
    </row>
    <row r="106" spans="1:4" x14ac:dyDescent="0.15">
      <c r="A106" s="20" t="s">
        <v>176</v>
      </c>
      <c r="B106" s="20" t="s">
        <v>177</v>
      </c>
      <c r="C106" s="21">
        <v>200100</v>
      </c>
      <c r="D106" s="22">
        <v>42002</v>
      </c>
    </row>
    <row r="107" spans="1:4" x14ac:dyDescent="0.15">
      <c r="A107" s="20" t="s">
        <v>178</v>
      </c>
      <c r="B107" s="20" t="s">
        <v>179</v>
      </c>
      <c r="C107" s="21">
        <v>200101</v>
      </c>
      <c r="D107" s="22">
        <v>42003</v>
      </c>
    </row>
    <row r="108" spans="1:4" x14ac:dyDescent="0.15">
      <c r="A108" s="19" t="str">
        <f t="shared" ref="A108" si="33">HYPERLINK("#DATE!A1","OP220-1")</f>
        <v>OP220-1</v>
      </c>
      <c r="B108" s="20" t="s">
        <v>180</v>
      </c>
      <c r="C108" s="21">
        <v>200102</v>
      </c>
      <c r="D108" s="22">
        <v>42004</v>
      </c>
    </row>
    <row r="109" spans="1:4" x14ac:dyDescent="0.15">
      <c r="A109" s="20" t="s">
        <v>181</v>
      </c>
      <c r="B109" s="20" t="s">
        <v>182</v>
      </c>
      <c r="C109" s="21">
        <v>200103</v>
      </c>
      <c r="D109" s="22">
        <v>42005</v>
      </c>
    </row>
    <row r="110" spans="1:4" x14ac:dyDescent="0.15">
      <c r="A110" s="20" t="s">
        <v>183</v>
      </c>
      <c r="B110" s="20" t="s">
        <v>184</v>
      </c>
      <c r="C110" s="21">
        <v>200104</v>
      </c>
      <c r="D110" s="22">
        <v>42006</v>
      </c>
    </row>
    <row r="111" spans="1:4" x14ac:dyDescent="0.15">
      <c r="A111" s="19" t="str">
        <f t="shared" ref="A111" si="34">HYPERLINK("#DATE!A1","OP220-1")</f>
        <v>OP220-1</v>
      </c>
      <c r="B111" s="20" t="s">
        <v>185</v>
      </c>
      <c r="C111" s="21">
        <v>200105</v>
      </c>
      <c r="D111" s="22">
        <v>42007</v>
      </c>
    </row>
    <row r="112" spans="1:4" x14ac:dyDescent="0.15">
      <c r="A112" s="20" t="s">
        <v>186</v>
      </c>
      <c r="B112" s="20" t="s">
        <v>187</v>
      </c>
      <c r="C112" s="21">
        <v>200106</v>
      </c>
      <c r="D112" s="22">
        <v>42008</v>
      </c>
    </row>
    <row r="113" spans="1:4" x14ac:dyDescent="0.15">
      <c r="A113" s="20" t="s">
        <v>188</v>
      </c>
      <c r="B113" s="20" t="s">
        <v>189</v>
      </c>
      <c r="C113" s="21">
        <v>200107</v>
      </c>
      <c r="D113" s="22">
        <v>42009</v>
      </c>
    </row>
    <row r="114" spans="1:4" x14ac:dyDescent="0.15">
      <c r="A114" s="19" t="str">
        <f t="shared" ref="A114" si="35">HYPERLINK("#DATE!A1","OP220-1")</f>
        <v>OP220-1</v>
      </c>
      <c r="B114" s="20" t="s">
        <v>190</v>
      </c>
      <c r="C114" s="21">
        <v>200108</v>
      </c>
      <c r="D114" s="22">
        <v>42010</v>
      </c>
    </row>
    <row r="115" spans="1:4" x14ac:dyDescent="0.15">
      <c r="A115" s="20" t="s">
        <v>191</v>
      </c>
      <c r="B115" s="20" t="s">
        <v>192</v>
      </c>
      <c r="C115" s="21">
        <v>200109</v>
      </c>
      <c r="D115" s="22">
        <v>42011</v>
      </c>
    </row>
    <row r="116" spans="1:4" x14ac:dyDescent="0.15">
      <c r="A116" s="20" t="s">
        <v>193</v>
      </c>
      <c r="B116" s="20" t="s">
        <v>194</v>
      </c>
      <c r="C116" s="21">
        <v>200110</v>
      </c>
      <c r="D116" s="22">
        <v>42012</v>
      </c>
    </row>
    <row r="117" spans="1:4" x14ac:dyDescent="0.15">
      <c r="A117" s="19" t="str">
        <f t="shared" ref="A117" si="36">HYPERLINK("#DATE!A1","OP220-1")</f>
        <v>OP220-1</v>
      </c>
      <c r="B117" s="20" t="s">
        <v>195</v>
      </c>
      <c r="C117" s="21">
        <v>200111</v>
      </c>
      <c r="D117" s="22">
        <v>42013</v>
      </c>
    </row>
    <row r="118" spans="1:4" x14ac:dyDescent="0.15">
      <c r="A118" s="20" t="s">
        <v>196</v>
      </c>
      <c r="B118" s="20" t="s">
        <v>197</v>
      </c>
      <c r="C118" s="21">
        <v>200112</v>
      </c>
      <c r="D118" s="22">
        <v>42014</v>
      </c>
    </row>
    <row r="119" spans="1:4" x14ac:dyDescent="0.15">
      <c r="A119" s="20" t="s">
        <v>198</v>
      </c>
      <c r="B119" s="20" t="s">
        <v>199</v>
      </c>
      <c r="C119" s="21">
        <v>200113</v>
      </c>
      <c r="D119" s="22">
        <v>42015</v>
      </c>
    </row>
    <row r="120" spans="1:4" x14ac:dyDescent="0.15">
      <c r="A120" s="19" t="str">
        <f t="shared" ref="A120" si="37">HYPERLINK("#DATE!A1","OP220-1")</f>
        <v>OP220-1</v>
      </c>
      <c r="B120" s="20" t="s">
        <v>200</v>
      </c>
      <c r="C120" s="21">
        <v>200114</v>
      </c>
      <c r="D120" s="22">
        <v>42016</v>
      </c>
    </row>
    <row r="121" spans="1:4" x14ac:dyDescent="0.15">
      <c r="A121" s="20" t="s">
        <v>201</v>
      </c>
      <c r="B121" s="20" t="s">
        <v>202</v>
      </c>
      <c r="C121" s="21">
        <v>200115</v>
      </c>
      <c r="D121" s="22">
        <v>42017</v>
      </c>
    </row>
    <row r="122" spans="1:4" x14ac:dyDescent="0.15">
      <c r="A122" s="20" t="s">
        <v>203</v>
      </c>
      <c r="B122" s="20" t="s">
        <v>204</v>
      </c>
      <c r="C122" s="21">
        <v>200116</v>
      </c>
      <c r="D122" s="22">
        <v>42018</v>
      </c>
    </row>
    <row r="123" spans="1:4" x14ac:dyDescent="0.15">
      <c r="A123" s="19" t="str">
        <f t="shared" ref="A123" si="38">HYPERLINK("#DATE!A1","OP220-1")</f>
        <v>OP220-1</v>
      </c>
      <c r="B123" s="20" t="s">
        <v>205</v>
      </c>
      <c r="C123" s="21">
        <v>200117</v>
      </c>
      <c r="D123" s="22">
        <v>42019</v>
      </c>
    </row>
    <row r="124" spans="1:4" x14ac:dyDescent="0.15">
      <c r="A124" s="20" t="s">
        <v>206</v>
      </c>
      <c r="B124" s="20" t="s">
        <v>207</v>
      </c>
      <c r="C124" s="21">
        <v>200118</v>
      </c>
      <c r="D124" s="22">
        <v>42020</v>
      </c>
    </row>
    <row r="125" spans="1:4" x14ac:dyDescent="0.15">
      <c r="A125" s="20" t="s">
        <v>208</v>
      </c>
      <c r="B125" s="20" t="s">
        <v>209</v>
      </c>
      <c r="C125" s="21">
        <v>200119</v>
      </c>
      <c r="D125" s="22">
        <v>42021</v>
      </c>
    </row>
    <row r="126" spans="1:4" x14ac:dyDescent="0.15">
      <c r="A126" s="19" t="str">
        <f t="shared" ref="A126" si="39">HYPERLINK("#DATE!A1","OP220-1")</f>
        <v>OP220-1</v>
      </c>
      <c r="B126" s="20" t="s">
        <v>210</v>
      </c>
      <c r="C126" s="21">
        <v>200120</v>
      </c>
      <c r="D126" s="22">
        <v>42022</v>
      </c>
    </row>
    <row r="127" spans="1:4" x14ac:dyDescent="0.15">
      <c r="A127" s="20" t="s">
        <v>211</v>
      </c>
      <c r="B127" s="20" t="s">
        <v>212</v>
      </c>
      <c r="C127" s="21">
        <v>200121</v>
      </c>
      <c r="D127" s="22">
        <v>42023</v>
      </c>
    </row>
    <row r="128" spans="1:4" x14ac:dyDescent="0.15">
      <c r="A128" s="20" t="s">
        <v>213</v>
      </c>
      <c r="B128" s="20" t="s">
        <v>214</v>
      </c>
      <c r="C128" s="21">
        <v>200122</v>
      </c>
      <c r="D128" s="22">
        <v>42024</v>
      </c>
    </row>
    <row r="129" spans="1:4" x14ac:dyDescent="0.15">
      <c r="A129" s="19" t="str">
        <f t="shared" ref="A129" si="40">HYPERLINK("#DATE!A1","OP220-1")</f>
        <v>OP220-1</v>
      </c>
      <c r="B129" s="20" t="s">
        <v>215</v>
      </c>
      <c r="C129" s="21">
        <v>200123</v>
      </c>
      <c r="D129" s="22">
        <v>42025</v>
      </c>
    </row>
    <row r="130" spans="1:4" x14ac:dyDescent="0.15">
      <c r="A130" s="20" t="s">
        <v>216</v>
      </c>
      <c r="B130" s="20" t="s">
        <v>217</v>
      </c>
      <c r="C130" s="21">
        <v>200124</v>
      </c>
      <c r="D130" s="22">
        <v>42026</v>
      </c>
    </row>
    <row r="131" spans="1:4" x14ac:dyDescent="0.15">
      <c r="A131" s="20" t="s">
        <v>218</v>
      </c>
      <c r="B131" s="20" t="s">
        <v>219</v>
      </c>
      <c r="C131" s="21">
        <v>200125</v>
      </c>
      <c r="D131" s="22">
        <v>42027</v>
      </c>
    </row>
    <row r="132" spans="1:4" x14ac:dyDescent="0.15">
      <c r="A132" s="19" t="str">
        <f t="shared" ref="A132" si="41">HYPERLINK("#DATE!A1","OP220-1")</f>
        <v>OP220-1</v>
      </c>
      <c r="B132" s="20" t="s">
        <v>220</v>
      </c>
      <c r="C132" s="21">
        <v>200126</v>
      </c>
      <c r="D132" s="22">
        <v>42028</v>
      </c>
    </row>
    <row r="133" spans="1:4" x14ac:dyDescent="0.15">
      <c r="A133" s="20" t="s">
        <v>221</v>
      </c>
      <c r="B133" s="20" t="s">
        <v>222</v>
      </c>
      <c r="C133" s="21">
        <v>200127</v>
      </c>
      <c r="D133" s="22">
        <v>42029</v>
      </c>
    </row>
    <row r="134" spans="1:4" x14ac:dyDescent="0.15">
      <c r="A134" s="20" t="s">
        <v>223</v>
      </c>
      <c r="B134" s="20" t="s">
        <v>224</v>
      </c>
      <c r="C134" s="21">
        <v>200128</v>
      </c>
      <c r="D134" s="22">
        <v>42030</v>
      </c>
    </row>
    <row r="135" spans="1:4" x14ac:dyDescent="0.15">
      <c r="A135" s="19" t="str">
        <f t="shared" ref="A135" si="42">HYPERLINK("#DATE!A1","OP220-1")</f>
        <v>OP220-1</v>
      </c>
      <c r="B135" s="20" t="s">
        <v>225</v>
      </c>
      <c r="C135" s="21">
        <v>200129</v>
      </c>
      <c r="D135" s="22">
        <v>42031</v>
      </c>
    </row>
    <row r="136" spans="1:4" x14ac:dyDescent="0.15">
      <c r="A136" s="20" t="s">
        <v>226</v>
      </c>
      <c r="B136" s="20" t="s">
        <v>227</v>
      </c>
      <c r="C136" s="21">
        <v>200130</v>
      </c>
      <c r="D136" s="22">
        <v>42032</v>
      </c>
    </row>
    <row r="137" spans="1:4" x14ac:dyDescent="0.15">
      <c r="A137" s="20" t="s">
        <v>228</v>
      </c>
      <c r="B137" s="20" t="s">
        <v>229</v>
      </c>
      <c r="C137" s="21">
        <v>200131</v>
      </c>
      <c r="D137" s="22">
        <v>42033</v>
      </c>
    </row>
    <row r="138" spans="1:4" x14ac:dyDescent="0.15">
      <c r="A138" s="19" t="str">
        <f t="shared" ref="A138" si="43">HYPERLINK("#DATE!A1","OP220-1")</f>
        <v>OP220-1</v>
      </c>
      <c r="B138" s="20" t="s">
        <v>230</v>
      </c>
      <c r="C138" s="21">
        <v>200132</v>
      </c>
      <c r="D138" s="22">
        <v>42034</v>
      </c>
    </row>
    <row r="139" spans="1:4" x14ac:dyDescent="0.15">
      <c r="A139" s="20" t="s">
        <v>231</v>
      </c>
      <c r="B139" s="20" t="s">
        <v>232</v>
      </c>
      <c r="C139" s="21">
        <v>200133</v>
      </c>
      <c r="D139" s="22">
        <v>42035</v>
      </c>
    </row>
    <row r="140" spans="1:4" x14ac:dyDescent="0.15">
      <c r="A140" s="20" t="s">
        <v>233</v>
      </c>
      <c r="B140" s="20" t="s">
        <v>234</v>
      </c>
      <c r="C140" s="21">
        <v>200134</v>
      </c>
      <c r="D140" s="22">
        <v>42036</v>
      </c>
    </row>
    <row r="141" spans="1:4" x14ac:dyDescent="0.15">
      <c r="A141" s="19" t="str">
        <f t="shared" ref="A141" si="44">HYPERLINK("#DATE!A1","OP220-1")</f>
        <v>OP220-1</v>
      </c>
      <c r="B141" s="20" t="s">
        <v>235</v>
      </c>
      <c r="C141" s="21">
        <v>200135</v>
      </c>
      <c r="D141" s="22">
        <v>42037</v>
      </c>
    </row>
    <row r="142" spans="1:4" x14ac:dyDescent="0.15">
      <c r="A142" s="20" t="s">
        <v>236</v>
      </c>
      <c r="B142" s="20" t="s">
        <v>237</v>
      </c>
      <c r="C142" s="21">
        <v>200136</v>
      </c>
      <c r="D142" s="22">
        <v>42038</v>
      </c>
    </row>
    <row r="143" spans="1:4" x14ac:dyDescent="0.15">
      <c r="A143" s="20" t="s">
        <v>238</v>
      </c>
      <c r="B143" s="20" t="s">
        <v>239</v>
      </c>
      <c r="C143" s="21">
        <v>200137</v>
      </c>
      <c r="D143" s="22">
        <v>42039</v>
      </c>
    </row>
    <row r="144" spans="1:4" x14ac:dyDescent="0.15">
      <c r="A144" s="19" t="str">
        <f t="shared" ref="A144" si="45">HYPERLINK("#DATE!A1","OP220-1")</f>
        <v>OP220-1</v>
      </c>
      <c r="B144" s="20" t="s">
        <v>240</v>
      </c>
      <c r="C144" s="21">
        <v>200138</v>
      </c>
      <c r="D144" s="22">
        <v>42040</v>
      </c>
    </row>
    <row r="145" spans="1:4" x14ac:dyDescent="0.15">
      <c r="A145" s="20" t="s">
        <v>241</v>
      </c>
      <c r="B145" s="20" t="s">
        <v>242</v>
      </c>
      <c r="C145" s="21">
        <v>200139</v>
      </c>
      <c r="D145" s="22">
        <v>42041</v>
      </c>
    </row>
    <row r="146" spans="1:4" x14ac:dyDescent="0.15">
      <c r="A146" s="20" t="s">
        <v>243</v>
      </c>
      <c r="B146" s="20" t="s">
        <v>244</v>
      </c>
      <c r="C146" s="21">
        <v>200140</v>
      </c>
      <c r="D146" s="22">
        <v>42042</v>
      </c>
    </row>
    <row r="147" spans="1:4" x14ac:dyDescent="0.15">
      <c r="A147" s="19" t="str">
        <f t="shared" ref="A147" si="46">HYPERLINK("#DATE!A1","OP220-1")</f>
        <v>OP220-1</v>
      </c>
      <c r="B147" s="20" t="s">
        <v>245</v>
      </c>
      <c r="C147" s="21">
        <v>200141</v>
      </c>
      <c r="D147" s="22">
        <v>42043</v>
      </c>
    </row>
    <row r="148" spans="1:4" x14ac:dyDescent="0.15">
      <c r="A148" s="20" t="s">
        <v>246</v>
      </c>
      <c r="B148" s="20" t="s">
        <v>247</v>
      </c>
      <c r="C148" s="21">
        <v>200142</v>
      </c>
      <c r="D148" s="22">
        <v>42044</v>
      </c>
    </row>
    <row r="149" spans="1:4" x14ac:dyDescent="0.15">
      <c r="A149" s="20" t="s">
        <v>248</v>
      </c>
      <c r="B149" s="20" t="s">
        <v>249</v>
      </c>
      <c r="C149" s="21">
        <v>200143</v>
      </c>
      <c r="D149" s="22">
        <v>42045</v>
      </c>
    </row>
    <row r="150" spans="1:4" x14ac:dyDescent="0.15">
      <c r="A150" s="19" t="str">
        <f t="shared" ref="A150" si="47">HYPERLINK("#DATE!A1","OP220-1")</f>
        <v>OP220-1</v>
      </c>
      <c r="B150" s="20" t="s">
        <v>250</v>
      </c>
      <c r="C150" s="21">
        <v>200144</v>
      </c>
      <c r="D150" s="22">
        <v>42046</v>
      </c>
    </row>
    <row r="151" spans="1:4" x14ac:dyDescent="0.15">
      <c r="A151" s="20" t="s">
        <v>251</v>
      </c>
      <c r="B151" s="20" t="s">
        <v>252</v>
      </c>
      <c r="C151" s="21">
        <v>200145</v>
      </c>
      <c r="D151" s="22">
        <v>42047</v>
      </c>
    </row>
    <row r="152" spans="1:4" x14ac:dyDescent="0.15">
      <c r="A152" s="20" t="s">
        <v>253</v>
      </c>
      <c r="B152" s="20" t="s">
        <v>254</v>
      </c>
      <c r="C152" s="21">
        <v>200146</v>
      </c>
      <c r="D152" s="22">
        <v>42048</v>
      </c>
    </row>
    <row r="153" spans="1:4" x14ac:dyDescent="0.15">
      <c r="A153" s="19" t="str">
        <f t="shared" ref="A153" si="48">HYPERLINK("#DATE!A1","OP220-1")</f>
        <v>OP220-1</v>
      </c>
      <c r="B153" s="20" t="s">
        <v>255</v>
      </c>
      <c r="C153" s="21">
        <v>200147</v>
      </c>
      <c r="D153" s="22">
        <v>42049</v>
      </c>
    </row>
    <row r="154" spans="1:4" x14ac:dyDescent="0.15">
      <c r="A154" s="20" t="s">
        <v>256</v>
      </c>
      <c r="B154" s="20" t="s">
        <v>257</v>
      </c>
      <c r="C154" s="21">
        <v>200148</v>
      </c>
      <c r="D154" s="22">
        <v>42050</v>
      </c>
    </row>
    <row r="155" spans="1:4" x14ac:dyDescent="0.15">
      <c r="A155" s="20" t="s">
        <v>258</v>
      </c>
      <c r="B155" s="20" t="s">
        <v>259</v>
      </c>
      <c r="C155" s="21">
        <v>200149</v>
      </c>
      <c r="D155" s="22">
        <v>42051</v>
      </c>
    </row>
    <row r="156" spans="1:4" x14ac:dyDescent="0.15">
      <c r="A156" s="19" t="str">
        <f t="shared" ref="A156" si="49">HYPERLINK("#DATE!A1","OP220-1")</f>
        <v>OP220-1</v>
      </c>
      <c r="B156" s="20" t="s">
        <v>260</v>
      </c>
      <c r="C156" s="21">
        <v>200150</v>
      </c>
      <c r="D156" s="22">
        <v>42052</v>
      </c>
    </row>
    <row r="157" spans="1:4" x14ac:dyDescent="0.15">
      <c r="A157" s="20" t="s">
        <v>261</v>
      </c>
      <c r="B157" s="20" t="s">
        <v>262</v>
      </c>
      <c r="C157" s="21">
        <v>200151</v>
      </c>
      <c r="D157" s="22">
        <v>42053</v>
      </c>
    </row>
    <row r="158" spans="1:4" x14ac:dyDescent="0.15">
      <c r="A158" s="20" t="s">
        <v>263</v>
      </c>
      <c r="B158" s="20" t="s">
        <v>264</v>
      </c>
      <c r="C158" s="21">
        <v>200152</v>
      </c>
      <c r="D158" s="22">
        <v>42054</v>
      </c>
    </row>
    <row r="159" spans="1:4" x14ac:dyDescent="0.15">
      <c r="A159" s="19" t="str">
        <f t="shared" ref="A159" si="50">HYPERLINK("#DATE!A1","OP220-1")</f>
        <v>OP220-1</v>
      </c>
      <c r="B159" s="20" t="s">
        <v>265</v>
      </c>
      <c r="C159" s="21">
        <v>200153</v>
      </c>
      <c r="D159" s="22">
        <v>42055</v>
      </c>
    </row>
    <row r="160" spans="1:4" x14ac:dyDescent="0.15">
      <c r="A160" s="20" t="s">
        <v>266</v>
      </c>
      <c r="B160" s="20" t="s">
        <v>267</v>
      </c>
      <c r="C160" s="21">
        <v>200154</v>
      </c>
      <c r="D160" s="22">
        <v>42056</v>
      </c>
    </row>
    <row r="161" spans="1:4" x14ac:dyDescent="0.15">
      <c r="A161" s="20" t="s">
        <v>268</v>
      </c>
      <c r="B161" s="20" t="s">
        <v>269</v>
      </c>
      <c r="C161" s="21">
        <v>200155</v>
      </c>
      <c r="D161" s="22">
        <v>42057</v>
      </c>
    </row>
    <row r="162" spans="1:4" x14ac:dyDescent="0.15">
      <c r="A162" s="19" t="str">
        <f t="shared" ref="A162" si="51">HYPERLINK("#DATE!A1","OP220-1")</f>
        <v>OP220-1</v>
      </c>
      <c r="B162" s="20" t="s">
        <v>270</v>
      </c>
      <c r="C162" s="21">
        <v>200156</v>
      </c>
      <c r="D162" s="22">
        <v>42058</v>
      </c>
    </row>
    <row r="163" spans="1:4" x14ac:dyDescent="0.15">
      <c r="A163" s="20" t="s">
        <v>271</v>
      </c>
      <c r="B163" s="20" t="s">
        <v>272</v>
      </c>
      <c r="C163" s="21">
        <v>200157</v>
      </c>
      <c r="D163" s="22">
        <v>42059</v>
      </c>
    </row>
    <row r="164" spans="1:4" x14ac:dyDescent="0.15">
      <c r="A164" s="20" t="s">
        <v>273</v>
      </c>
      <c r="B164" s="20" t="s">
        <v>274</v>
      </c>
      <c r="C164" s="21">
        <v>200158</v>
      </c>
      <c r="D164" s="22">
        <v>42060</v>
      </c>
    </row>
    <row r="165" spans="1:4" x14ac:dyDescent="0.15">
      <c r="A165" s="19" t="str">
        <f t="shared" ref="A165" si="52">HYPERLINK("#DATE!A1","OP220-1")</f>
        <v>OP220-1</v>
      </c>
      <c r="B165" s="20" t="s">
        <v>275</v>
      </c>
      <c r="C165" s="21">
        <v>200159</v>
      </c>
      <c r="D165" s="22">
        <v>42061</v>
      </c>
    </row>
    <row r="166" spans="1:4" x14ac:dyDescent="0.15">
      <c r="A166" s="20" t="s">
        <v>276</v>
      </c>
      <c r="B166" s="20" t="s">
        <v>277</v>
      </c>
      <c r="C166" s="21">
        <v>200160</v>
      </c>
      <c r="D166" s="22">
        <v>42062</v>
      </c>
    </row>
    <row r="167" spans="1:4" x14ac:dyDescent="0.15">
      <c r="A167" s="20" t="s">
        <v>278</v>
      </c>
      <c r="B167" s="20" t="s">
        <v>279</v>
      </c>
      <c r="C167" s="21">
        <v>200161</v>
      </c>
      <c r="D167" s="22">
        <v>42063</v>
      </c>
    </row>
    <row r="168" spans="1:4" x14ac:dyDescent="0.15">
      <c r="A168" s="19" t="str">
        <f t="shared" ref="A168" si="53">HYPERLINK("#DATE!A1","OP220-1")</f>
        <v>OP220-1</v>
      </c>
      <c r="B168" s="20" t="s">
        <v>280</v>
      </c>
      <c r="C168" s="21">
        <v>200162</v>
      </c>
      <c r="D168" s="22">
        <v>42064</v>
      </c>
    </row>
    <row r="169" spans="1:4" x14ac:dyDescent="0.15">
      <c r="A169" s="20" t="s">
        <v>281</v>
      </c>
      <c r="B169" s="20" t="s">
        <v>282</v>
      </c>
      <c r="C169" s="21">
        <v>200163</v>
      </c>
      <c r="D169" s="22">
        <v>42065</v>
      </c>
    </row>
    <row r="170" spans="1:4" x14ac:dyDescent="0.15">
      <c r="A170" s="20" t="s">
        <v>283</v>
      </c>
      <c r="B170" s="20" t="s">
        <v>284</v>
      </c>
      <c r="C170" s="21">
        <v>200164</v>
      </c>
      <c r="D170" s="22">
        <v>42066</v>
      </c>
    </row>
    <row r="171" spans="1:4" x14ac:dyDescent="0.15">
      <c r="A171" s="19" t="str">
        <f t="shared" ref="A171" si="54">HYPERLINK("#DATE!A1","OP220-1")</f>
        <v>OP220-1</v>
      </c>
      <c r="B171" s="20" t="s">
        <v>285</v>
      </c>
      <c r="C171" s="21">
        <v>200165</v>
      </c>
      <c r="D171" s="22">
        <v>42067</v>
      </c>
    </row>
    <row r="172" spans="1:4" x14ac:dyDescent="0.15">
      <c r="A172" s="20" t="s">
        <v>286</v>
      </c>
      <c r="B172" s="20" t="s">
        <v>287</v>
      </c>
      <c r="C172" s="21">
        <v>200166</v>
      </c>
      <c r="D172" s="22">
        <v>42068</v>
      </c>
    </row>
    <row r="173" spans="1:4" x14ac:dyDescent="0.15">
      <c r="A173" s="20" t="s">
        <v>288</v>
      </c>
      <c r="B173" s="20" t="s">
        <v>289</v>
      </c>
      <c r="C173" s="21">
        <v>200167</v>
      </c>
      <c r="D173" s="22">
        <v>42069</v>
      </c>
    </row>
    <row r="174" spans="1:4" x14ac:dyDescent="0.15">
      <c r="A174" s="19" t="str">
        <f t="shared" ref="A174" si="55">HYPERLINK("#DATE!A1","OP220-1")</f>
        <v>OP220-1</v>
      </c>
      <c r="B174" s="20" t="s">
        <v>290</v>
      </c>
      <c r="C174" s="21">
        <v>200168</v>
      </c>
      <c r="D174" s="22">
        <v>42070</v>
      </c>
    </row>
    <row r="175" spans="1:4" x14ac:dyDescent="0.15">
      <c r="A175" s="20" t="s">
        <v>291</v>
      </c>
      <c r="B175" s="20" t="s">
        <v>292</v>
      </c>
      <c r="C175" s="21">
        <v>200169</v>
      </c>
      <c r="D175" s="22">
        <v>42071</v>
      </c>
    </row>
    <row r="176" spans="1:4" x14ac:dyDescent="0.15">
      <c r="A176" s="20" t="s">
        <v>293</v>
      </c>
      <c r="B176" s="20" t="s">
        <v>294</v>
      </c>
      <c r="C176" s="21">
        <v>200170</v>
      </c>
      <c r="D176" s="22">
        <v>42072</v>
      </c>
    </row>
    <row r="177" spans="1:4" x14ac:dyDescent="0.15">
      <c r="A177" s="19" t="str">
        <f t="shared" ref="A177" si="56">HYPERLINK("#DATE!A1","OP220-1")</f>
        <v>OP220-1</v>
      </c>
      <c r="B177" s="20" t="s">
        <v>295</v>
      </c>
      <c r="C177" s="21">
        <v>200171</v>
      </c>
      <c r="D177" s="22">
        <v>42073</v>
      </c>
    </row>
    <row r="178" spans="1:4" x14ac:dyDescent="0.15">
      <c r="A178" s="20" t="s">
        <v>296</v>
      </c>
      <c r="B178" s="20" t="s">
        <v>297</v>
      </c>
      <c r="C178" s="21">
        <v>200172</v>
      </c>
      <c r="D178" s="22">
        <v>42074</v>
      </c>
    </row>
    <row r="179" spans="1:4" x14ac:dyDescent="0.15">
      <c r="A179" s="20" t="s">
        <v>298</v>
      </c>
      <c r="B179" s="20" t="s">
        <v>299</v>
      </c>
      <c r="C179" s="21">
        <v>200173</v>
      </c>
      <c r="D179" s="22">
        <v>42075</v>
      </c>
    </row>
    <row r="180" spans="1:4" x14ac:dyDescent="0.15">
      <c r="A180" s="19" t="str">
        <f t="shared" ref="A180" si="57">HYPERLINK("#DATE!A1","OP220-1")</f>
        <v>OP220-1</v>
      </c>
      <c r="B180" s="20" t="s">
        <v>300</v>
      </c>
      <c r="C180" s="21">
        <v>200174</v>
      </c>
      <c r="D180" s="22">
        <v>42076</v>
      </c>
    </row>
    <row r="181" spans="1:4" x14ac:dyDescent="0.15">
      <c r="A181" s="20" t="s">
        <v>301</v>
      </c>
      <c r="B181" s="20" t="s">
        <v>302</v>
      </c>
      <c r="C181" s="21">
        <v>200175</v>
      </c>
      <c r="D181" s="22">
        <v>42077</v>
      </c>
    </row>
    <row r="182" spans="1:4" x14ac:dyDescent="0.15">
      <c r="A182" s="20" t="s">
        <v>303</v>
      </c>
      <c r="B182" s="20" t="s">
        <v>304</v>
      </c>
      <c r="C182" s="21">
        <v>200176</v>
      </c>
      <c r="D182" s="22">
        <v>42078</v>
      </c>
    </row>
    <row r="183" spans="1:4" x14ac:dyDescent="0.15">
      <c r="A183" s="19" t="str">
        <f t="shared" ref="A183" si="58">HYPERLINK("#DATE!A1","OP220-1")</f>
        <v>OP220-1</v>
      </c>
      <c r="B183" s="20" t="s">
        <v>305</v>
      </c>
      <c r="C183" s="21">
        <v>200177</v>
      </c>
      <c r="D183" s="22">
        <v>42079</v>
      </c>
    </row>
    <row r="184" spans="1:4" x14ac:dyDescent="0.15">
      <c r="A184" s="20" t="s">
        <v>306</v>
      </c>
      <c r="B184" s="20" t="s">
        <v>307</v>
      </c>
      <c r="C184" s="21">
        <v>200178</v>
      </c>
      <c r="D184" s="22">
        <v>42080</v>
      </c>
    </row>
    <row r="185" spans="1:4" x14ac:dyDescent="0.15">
      <c r="A185" s="20" t="s">
        <v>308</v>
      </c>
      <c r="B185" s="20" t="s">
        <v>309</v>
      </c>
      <c r="C185" s="21">
        <v>200179</v>
      </c>
      <c r="D185" s="22">
        <v>42081</v>
      </c>
    </row>
  </sheetData>
  <mergeCells count="3">
    <mergeCell ref="O5:U5"/>
    <mergeCell ref="A1:D1"/>
    <mergeCell ref="O28:U2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85"/>
  <sheetViews>
    <sheetView topLeftCell="A16" workbookViewId="0">
      <selection activeCell="A48" sqref="A48"/>
    </sheetView>
  </sheetViews>
  <sheetFormatPr defaultRowHeight="16.5" x14ac:dyDescent="0.15"/>
  <cols>
    <col min="1" max="1" width="9.75" style="15" customWidth="1"/>
    <col min="2" max="2" width="12" style="15" customWidth="1"/>
    <col min="3" max="3" width="15.5" style="15" customWidth="1"/>
    <col min="4" max="4" width="13.625" style="15" customWidth="1"/>
    <col min="5" max="5" width="12" style="15" customWidth="1"/>
    <col min="6" max="6" width="0" style="15" hidden="1" customWidth="1"/>
    <col min="7" max="13" width="12.625" style="15" hidden="1" customWidth="1"/>
    <col min="14" max="17" width="9" style="15"/>
    <col min="18" max="18" width="9.625" style="15" bestFit="1" customWidth="1"/>
    <col min="19" max="16384" width="9" style="15"/>
  </cols>
  <sheetData>
    <row r="1" spans="1:21" ht="20.25" customHeight="1" x14ac:dyDescent="0.15">
      <c r="A1" s="27" t="s">
        <v>318</v>
      </c>
      <c r="B1" s="28"/>
      <c r="C1" s="28"/>
      <c r="D1" s="28"/>
    </row>
    <row r="2" spans="1:21" ht="3" customHeight="1" x14ac:dyDescent="0.15"/>
    <row r="3" spans="1:21" s="3" customFormat="1" x14ac:dyDescent="0.15">
      <c r="A3" s="23" t="s">
        <v>313</v>
      </c>
      <c r="B3" s="10"/>
      <c r="C3" s="16" t="s">
        <v>314</v>
      </c>
      <c r="D3" s="10"/>
      <c r="E3" s="1"/>
      <c r="F3" s="2"/>
    </row>
    <row r="4" spans="1:21" ht="3" customHeight="1" x14ac:dyDescent="0.15">
      <c r="A4" s="17"/>
      <c r="B4" s="17"/>
      <c r="C4" s="17"/>
      <c r="D4" s="17"/>
    </row>
    <row r="5" spans="1:21" ht="20.25" customHeight="1" x14ac:dyDescent="0.15">
      <c r="A5" s="18" t="s">
        <v>311</v>
      </c>
      <c r="B5" s="18" t="s">
        <v>2</v>
      </c>
      <c r="C5" s="18" t="s">
        <v>0</v>
      </c>
      <c r="D5" s="18" t="s">
        <v>1</v>
      </c>
      <c r="O5" s="29" t="s">
        <v>320</v>
      </c>
      <c r="P5" s="30"/>
      <c r="Q5" s="30"/>
      <c r="R5" s="30"/>
      <c r="S5" s="30"/>
      <c r="T5" s="30"/>
      <c r="U5" s="30"/>
    </row>
    <row r="6" spans="1:21" ht="15" customHeight="1" x14ac:dyDescent="0.15">
      <c r="A6" s="19" t="str">
        <f>HYPERLINK("#DATE!A1","OP220-1")</f>
        <v>OP220-1</v>
      </c>
      <c r="B6" s="20" t="s">
        <v>3</v>
      </c>
      <c r="C6" s="21">
        <v>200000</v>
      </c>
      <c r="D6" s="22">
        <v>41902</v>
      </c>
      <c r="O6" s="5" t="s">
        <v>14</v>
      </c>
      <c r="P6" s="5" t="s">
        <v>8</v>
      </c>
      <c r="Q6" s="5" t="s">
        <v>9</v>
      </c>
      <c r="R6" s="5" t="s">
        <v>10</v>
      </c>
      <c r="S6" s="5" t="s">
        <v>11</v>
      </c>
      <c r="T6" s="5" t="s">
        <v>12</v>
      </c>
      <c r="U6" s="5" t="s">
        <v>13</v>
      </c>
    </row>
    <row r="7" spans="1:21" ht="20.25" customHeight="1" x14ac:dyDescent="0.15">
      <c r="A7" s="20" t="s">
        <v>4</v>
      </c>
      <c r="B7" s="20" t="s">
        <v>6</v>
      </c>
      <c r="C7" s="21">
        <v>200001</v>
      </c>
      <c r="D7" s="22">
        <v>41903</v>
      </c>
      <c r="O7" s="9">
        <v>41847</v>
      </c>
      <c r="P7" s="9">
        <v>41848</v>
      </c>
      <c r="Q7" s="9">
        <v>41849</v>
      </c>
      <c r="R7" s="9">
        <v>41850</v>
      </c>
      <c r="S7" s="9">
        <v>41851</v>
      </c>
      <c r="T7" s="9">
        <v>41852</v>
      </c>
      <c r="U7" s="9">
        <v>41853</v>
      </c>
    </row>
    <row r="8" spans="1:21" x14ac:dyDescent="0.15">
      <c r="A8" s="20" t="s">
        <v>5</v>
      </c>
      <c r="B8" s="20" t="s">
        <v>7</v>
      </c>
      <c r="C8" s="21">
        <v>200002</v>
      </c>
      <c r="D8" s="22">
        <v>41904</v>
      </c>
      <c r="O8" s="8"/>
      <c r="P8" s="6"/>
      <c r="Q8" s="6"/>
      <c r="R8" s="6"/>
      <c r="S8" s="6"/>
      <c r="T8" s="6"/>
      <c r="U8" s="6"/>
    </row>
    <row r="9" spans="1:21" x14ac:dyDescent="0.15">
      <c r="A9" s="19" t="str">
        <f t="shared" ref="A9" si="0">HYPERLINK("#DATE!A1","OP220-1")</f>
        <v>OP220-1</v>
      </c>
      <c r="B9" s="20" t="s">
        <v>15</v>
      </c>
      <c r="C9" s="21">
        <v>200003</v>
      </c>
      <c r="D9" s="22">
        <v>41905</v>
      </c>
      <c r="O9" s="8"/>
      <c r="P9" s="6"/>
      <c r="Q9" s="6"/>
      <c r="R9" s="6"/>
      <c r="S9" s="6"/>
      <c r="T9" s="6"/>
      <c r="U9" s="6"/>
    </row>
    <row r="10" spans="1:21" x14ac:dyDescent="0.15">
      <c r="A10" s="20" t="s">
        <v>16</v>
      </c>
      <c r="B10" s="20" t="s">
        <v>17</v>
      </c>
      <c r="C10" s="21">
        <v>200004</v>
      </c>
      <c r="D10" s="22">
        <v>41906</v>
      </c>
      <c r="O10" s="8"/>
      <c r="P10" s="6"/>
      <c r="Q10" s="6"/>
      <c r="R10" s="6"/>
      <c r="S10" s="6"/>
      <c r="T10" s="6"/>
      <c r="U10" s="6"/>
    </row>
    <row r="11" spans="1:21" ht="20.25" customHeight="1" x14ac:dyDescent="0.15">
      <c r="A11" s="20" t="s">
        <v>18</v>
      </c>
      <c r="B11" s="20" t="s">
        <v>19</v>
      </c>
      <c r="C11" s="21">
        <v>200005</v>
      </c>
      <c r="D11" s="22">
        <v>41907</v>
      </c>
      <c r="O11" s="8"/>
      <c r="P11" s="6"/>
      <c r="Q11" s="6"/>
      <c r="R11" s="6"/>
      <c r="S11" s="6"/>
      <c r="T11" s="6"/>
      <c r="U11" s="6"/>
    </row>
    <row r="12" spans="1:21" x14ac:dyDescent="0.15">
      <c r="A12" s="19" t="str">
        <f t="shared" ref="A12" si="1">HYPERLINK("#DATE!A1","OP220-1")</f>
        <v>OP220-1</v>
      </c>
      <c r="B12" s="20" t="s">
        <v>20</v>
      </c>
      <c r="C12" s="21">
        <v>200006</v>
      </c>
      <c r="D12" s="22">
        <v>41908</v>
      </c>
      <c r="O12" s="9">
        <v>41854</v>
      </c>
      <c r="P12" s="9">
        <v>41855</v>
      </c>
      <c r="Q12" s="9">
        <v>41856</v>
      </c>
      <c r="R12" s="9">
        <v>41857</v>
      </c>
      <c r="S12" s="9">
        <v>41858</v>
      </c>
      <c r="T12" s="9">
        <v>41859</v>
      </c>
      <c r="U12" s="9">
        <v>41860</v>
      </c>
    </row>
    <row r="13" spans="1:21" x14ac:dyDescent="0.15">
      <c r="A13" s="20" t="s">
        <v>21</v>
      </c>
      <c r="B13" s="20" t="s">
        <v>22</v>
      </c>
      <c r="C13" s="21">
        <v>200007</v>
      </c>
      <c r="D13" s="22">
        <v>41909</v>
      </c>
      <c r="O13" s="7"/>
      <c r="P13" s="7"/>
      <c r="Q13" s="7"/>
      <c r="R13" s="26" t="str">
        <f>HYPERLINK("#出货!A6","OP212")</f>
        <v>OP212</v>
      </c>
      <c r="S13" s="26" t="str">
        <f>HYPERLINK("#出货!A7","OP212")</f>
        <v>OP212</v>
      </c>
      <c r="T13" s="26" t="str">
        <f>HYPERLINK("#出货!A8","OP212")</f>
        <v>OP212</v>
      </c>
      <c r="U13" s="26" t="str">
        <f>HYPERLINK("#出货!A9","OP212")</f>
        <v>OP212</v>
      </c>
    </row>
    <row r="14" spans="1:21" x14ac:dyDescent="0.15">
      <c r="A14" s="20" t="s">
        <v>23</v>
      </c>
      <c r="B14" s="20" t="s">
        <v>24</v>
      </c>
      <c r="C14" s="21">
        <v>200008</v>
      </c>
      <c r="D14" s="22">
        <v>41910</v>
      </c>
      <c r="O14" s="7"/>
      <c r="P14" s="7"/>
      <c r="Q14" s="7"/>
      <c r="R14" s="7"/>
      <c r="S14" s="7"/>
      <c r="T14" s="7"/>
      <c r="U14" s="7"/>
    </row>
    <row r="15" spans="1:21" x14ac:dyDescent="0.15">
      <c r="A15" s="19" t="str">
        <f t="shared" ref="A15" si="2">HYPERLINK("#DATE!A1","OP220-1")</f>
        <v>OP220-1</v>
      </c>
      <c r="B15" s="20" t="s">
        <v>25</v>
      </c>
      <c r="C15" s="21">
        <v>200009</v>
      </c>
      <c r="D15" s="22">
        <v>41911</v>
      </c>
      <c r="O15" s="7"/>
      <c r="P15" s="7"/>
      <c r="Q15" s="7"/>
      <c r="R15" s="7"/>
      <c r="S15" s="7"/>
      <c r="T15" s="7"/>
      <c r="U15" s="7"/>
    </row>
    <row r="16" spans="1:21" x14ac:dyDescent="0.15">
      <c r="A16" s="20" t="s">
        <v>26</v>
      </c>
      <c r="B16" s="20" t="s">
        <v>27</v>
      </c>
      <c r="C16" s="21">
        <v>200010</v>
      </c>
      <c r="D16" s="22">
        <v>41912</v>
      </c>
      <c r="O16" s="9">
        <v>41861</v>
      </c>
      <c r="P16" s="9">
        <v>41862</v>
      </c>
      <c r="Q16" s="9">
        <v>41863</v>
      </c>
      <c r="R16" s="9">
        <v>41864</v>
      </c>
      <c r="S16" s="9">
        <v>41865</v>
      </c>
      <c r="T16" s="9">
        <v>41866</v>
      </c>
      <c r="U16" s="9">
        <v>41867</v>
      </c>
    </row>
    <row r="17" spans="1:21" x14ac:dyDescent="0.15">
      <c r="A17" s="20" t="s">
        <v>28</v>
      </c>
      <c r="B17" s="20" t="s">
        <v>29</v>
      </c>
      <c r="C17" s="21">
        <v>200011</v>
      </c>
      <c r="D17" s="22">
        <v>41913</v>
      </c>
      <c r="O17" s="8" t="str">
        <f>HYPERLINK("#出货!A10","OP212")</f>
        <v>OP212</v>
      </c>
      <c r="P17" s="8" t="str">
        <f>HYPERLINK("#出货!A11","OP212")</f>
        <v>OP212</v>
      </c>
      <c r="Q17" s="8" t="str">
        <f>HYPERLINK("#出货!A12","OP212")</f>
        <v>OP212</v>
      </c>
      <c r="R17" s="8" t="str">
        <f>HYPERLINK("#出货!A13","OP212")</f>
        <v>OP212</v>
      </c>
      <c r="S17" s="8" t="str">
        <f>HYPERLINK("#出货!A14","OP212")</f>
        <v>OP212</v>
      </c>
      <c r="T17" s="8" t="str">
        <f>HYPERLINK("#出货!A15","OP212")</f>
        <v>OP212</v>
      </c>
      <c r="U17" s="8" t="str">
        <f>HYPERLINK("#出货!A16","OP212")</f>
        <v>OP212</v>
      </c>
    </row>
    <row r="18" spans="1:21" x14ac:dyDescent="0.15">
      <c r="A18" s="19" t="str">
        <f t="shared" ref="A18" si="3">HYPERLINK("#DATE!A1","OP220-1")</f>
        <v>OP220-1</v>
      </c>
      <c r="B18" s="20" t="s">
        <v>30</v>
      </c>
      <c r="C18" s="21">
        <v>200012</v>
      </c>
      <c r="D18" s="22">
        <v>41914</v>
      </c>
      <c r="O18" s="6"/>
      <c r="P18" s="6"/>
      <c r="Q18" s="6"/>
      <c r="R18" s="6"/>
      <c r="S18" s="6"/>
      <c r="T18" s="6"/>
      <c r="U18" s="6"/>
    </row>
    <row r="19" spans="1:21" x14ac:dyDescent="0.15">
      <c r="A19" s="20" t="s">
        <v>31</v>
      </c>
      <c r="B19" s="20" t="s">
        <v>32</v>
      </c>
      <c r="C19" s="21">
        <v>200013</v>
      </c>
      <c r="D19" s="22">
        <v>41915</v>
      </c>
      <c r="O19" s="6"/>
      <c r="P19" s="6"/>
      <c r="Q19" s="6"/>
      <c r="R19" s="6"/>
      <c r="S19" s="6"/>
      <c r="T19" s="6"/>
      <c r="U19" s="6"/>
    </row>
    <row r="20" spans="1:21" x14ac:dyDescent="0.15">
      <c r="A20" s="20" t="s">
        <v>33</v>
      </c>
      <c r="B20" s="20" t="s">
        <v>34</v>
      </c>
      <c r="C20" s="21">
        <v>200014</v>
      </c>
      <c r="D20" s="22">
        <v>41916</v>
      </c>
      <c r="O20" s="9">
        <v>41868</v>
      </c>
      <c r="P20" s="9">
        <v>41869</v>
      </c>
      <c r="Q20" s="9">
        <v>41870</v>
      </c>
      <c r="R20" s="9">
        <v>41871</v>
      </c>
      <c r="S20" s="9">
        <v>41872</v>
      </c>
      <c r="T20" s="9">
        <v>41873</v>
      </c>
      <c r="U20" s="9">
        <v>41874</v>
      </c>
    </row>
    <row r="21" spans="1:21" x14ac:dyDescent="0.15">
      <c r="A21" s="19" t="str">
        <f t="shared" ref="A21" si="4">HYPERLINK("#DATE!A1","OP220-1")</f>
        <v>OP220-1</v>
      </c>
      <c r="B21" s="20" t="s">
        <v>35</v>
      </c>
      <c r="C21" s="21">
        <v>200015</v>
      </c>
      <c r="D21" s="22">
        <v>41917</v>
      </c>
      <c r="O21" s="8" t="str">
        <f>HYPERLINK("#出货!A17","OP212")</f>
        <v>OP212</v>
      </c>
      <c r="P21" s="8" t="str">
        <f>HYPERLINK("#出货!A18","OP212")</f>
        <v>OP212</v>
      </c>
      <c r="Q21" s="8" t="str">
        <f>HYPERLINK("#出货!A19","OP212")</f>
        <v>OP212</v>
      </c>
      <c r="R21" s="8" t="str">
        <f>HYPERLINK("#出货!A20","OP212")</f>
        <v>OP212</v>
      </c>
      <c r="S21" s="8" t="str">
        <f>HYPERLINK("#出货!A21","OP212")</f>
        <v>OP212</v>
      </c>
      <c r="T21" s="8" t="str">
        <f>HYPERLINK("#出货!A22","OP212")</f>
        <v>OP212</v>
      </c>
      <c r="U21" s="8" t="str">
        <f>HYPERLINK("#出货!A23","OP212")</f>
        <v>OP212</v>
      </c>
    </row>
    <row r="22" spans="1:21" x14ac:dyDescent="0.15">
      <c r="A22" s="20" t="s">
        <v>36</v>
      </c>
      <c r="B22" s="20" t="s">
        <v>37</v>
      </c>
      <c r="C22" s="21">
        <v>200016</v>
      </c>
      <c r="D22" s="22">
        <v>41918</v>
      </c>
      <c r="O22" s="6"/>
      <c r="P22" s="6"/>
      <c r="Q22" s="6"/>
      <c r="R22" s="6"/>
      <c r="S22" s="6"/>
      <c r="T22" s="6"/>
      <c r="U22" s="6"/>
    </row>
    <row r="23" spans="1:21" x14ac:dyDescent="0.15">
      <c r="A23" s="20" t="s">
        <v>38</v>
      </c>
      <c r="B23" s="20" t="s">
        <v>39</v>
      </c>
      <c r="C23" s="21">
        <v>200017</v>
      </c>
      <c r="D23" s="22">
        <v>41919</v>
      </c>
      <c r="O23" s="6"/>
      <c r="P23" s="6"/>
      <c r="Q23" s="6"/>
      <c r="R23" s="6"/>
      <c r="S23" s="6"/>
      <c r="T23" s="6"/>
      <c r="U23" s="6"/>
    </row>
    <row r="24" spans="1:21" x14ac:dyDescent="0.15">
      <c r="A24" s="19" t="str">
        <f t="shared" ref="A24" si="5">HYPERLINK("#DATE!A1","OP220-1")</f>
        <v>OP220-1</v>
      </c>
      <c r="B24" s="20" t="s">
        <v>40</v>
      </c>
      <c r="C24" s="21">
        <v>200018</v>
      </c>
      <c r="D24" s="22">
        <v>41920</v>
      </c>
      <c r="O24" s="24">
        <v>41882</v>
      </c>
      <c r="P24" s="24"/>
      <c r="Q24" s="24"/>
      <c r="R24" s="24"/>
      <c r="S24" s="24"/>
      <c r="T24" s="24"/>
      <c r="U24" s="24"/>
    </row>
    <row r="25" spans="1:21" x14ac:dyDescent="0.15">
      <c r="A25" s="20" t="s">
        <v>41</v>
      </c>
      <c r="B25" s="20" t="s">
        <v>42</v>
      </c>
      <c r="C25" s="21">
        <v>200019</v>
      </c>
      <c r="D25" s="22">
        <v>41921</v>
      </c>
      <c r="O25" s="8" t="str">
        <f>HYPERLINK("#出货!A24","OP212")</f>
        <v>OP212</v>
      </c>
      <c r="P25" s="6"/>
      <c r="Q25" s="6"/>
      <c r="R25" s="6"/>
      <c r="S25" s="6"/>
      <c r="T25" s="6"/>
      <c r="U25" s="6"/>
    </row>
    <row r="26" spans="1:21" x14ac:dyDescent="0.15">
      <c r="A26" s="20" t="s">
        <v>43</v>
      </c>
      <c r="B26" s="20" t="s">
        <v>44</v>
      </c>
      <c r="C26" s="21">
        <v>200020</v>
      </c>
      <c r="D26" s="22">
        <v>41922</v>
      </c>
      <c r="O26" s="6"/>
      <c r="P26" s="6"/>
      <c r="Q26" s="6"/>
      <c r="R26" s="6"/>
      <c r="S26" s="6"/>
      <c r="T26" s="6"/>
      <c r="U26" s="6"/>
    </row>
    <row r="27" spans="1:21" x14ac:dyDescent="0.15">
      <c r="A27" s="19" t="str">
        <f t="shared" ref="A27" si="6">HYPERLINK("#DATE!A1","OP220-1")</f>
        <v>OP220-1</v>
      </c>
      <c r="B27" s="20" t="s">
        <v>45</v>
      </c>
      <c r="C27" s="21">
        <v>200021</v>
      </c>
      <c r="D27" s="22">
        <v>41923</v>
      </c>
      <c r="O27" s="6"/>
      <c r="P27" s="6"/>
      <c r="Q27" s="6"/>
      <c r="R27" s="14"/>
      <c r="S27" s="14"/>
      <c r="T27" s="14"/>
      <c r="U27" s="14"/>
    </row>
    <row r="28" spans="1:21" ht="20.25" customHeight="1" x14ac:dyDescent="0.15">
      <c r="A28" s="20" t="s">
        <v>46</v>
      </c>
      <c r="B28" s="20" t="s">
        <v>47</v>
      </c>
      <c r="C28" s="21">
        <v>200022</v>
      </c>
      <c r="D28" s="22">
        <v>41924</v>
      </c>
      <c r="O28" s="29" t="s">
        <v>319</v>
      </c>
      <c r="P28" s="30"/>
      <c r="Q28" s="30"/>
      <c r="R28" s="30"/>
      <c r="S28" s="30"/>
      <c r="T28" s="30"/>
      <c r="U28" s="30"/>
    </row>
    <row r="29" spans="1:21" x14ac:dyDescent="0.15">
      <c r="A29" s="20" t="s">
        <v>48</v>
      </c>
      <c r="B29" s="20" t="s">
        <v>49</v>
      </c>
      <c r="C29" s="21">
        <v>200023</v>
      </c>
      <c r="D29" s="22">
        <v>41925</v>
      </c>
      <c r="O29" s="5" t="s">
        <v>14</v>
      </c>
      <c r="P29" s="5" t="s">
        <v>8</v>
      </c>
      <c r="Q29" s="5" t="s">
        <v>9</v>
      </c>
      <c r="R29" s="5" t="s">
        <v>10</v>
      </c>
      <c r="S29" s="5" t="s">
        <v>11</v>
      </c>
      <c r="T29" s="5" t="s">
        <v>12</v>
      </c>
      <c r="U29" s="5" t="s">
        <v>13</v>
      </c>
    </row>
    <row r="30" spans="1:21" x14ac:dyDescent="0.15">
      <c r="A30" s="19" t="str">
        <f t="shared" ref="A30" si="7">HYPERLINK("#DATE!A1","OP220-1")</f>
        <v>OP220-1</v>
      </c>
      <c r="B30" s="20" t="s">
        <v>50</v>
      </c>
      <c r="C30" s="21">
        <v>200024</v>
      </c>
      <c r="D30" s="22">
        <v>41926</v>
      </c>
      <c r="O30" s="9"/>
      <c r="P30" s="9">
        <v>41883</v>
      </c>
      <c r="Q30" s="9">
        <v>41884</v>
      </c>
      <c r="R30" s="9">
        <v>41885</v>
      </c>
      <c r="S30" s="9">
        <v>41886</v>
      </c>
      <c r="T30" s="9">
        <v>41887</v>
      </c>
      <c r="U30" s="9">
        <v>41888</v>
      </c>
    </row>
    <row r="31" spans="1:21" x14ac:dyDescent="0.15">
      <c r="A31" s="20" t="s">
        <v>51</v>
      </c>
      <c r="B31" s="20" t="s">
        <v>52</v>
      </c>
      <c r="C31" s="21">
        <v>200025</v>
      </c>
      <c r="D31" s="22">
        <v>41927</v>
      </c>
      <c r="O31" s="6"/>
      <c r="P31" s="8" t="str">
        <f>HYPERLINK("#出货!A25","OP212")</f>
        <v>OP212</v>
      </c>
      <c r="Q31" s="8" t="str">
        <f>HYPERLINK("#出货!A26","OP212")</f>
        <v>OP212</v>
      </c>
      <c r="R31" s="8" t="str">
        <f>HYPERLINK("#出货!A27","OP212")</f>
        <v>OP212</v>
      </c>
      <c r="S31" s="8" t="str">
        <f>HYPERLINK("#出货!A28","OP212")</f>
        <v>OP212</v>
      </c>
      <c r="T31" s="8" t="str">
        <f>HYPERLINK("#出货!A29","OP212")</f>
        <v>OP212</v>
      </c>
      <c r="U31" s="8" t="str">
        <f>HYPERLINK("#出货!A30","OP212")</f>
        <v>OP212</v>
      </c>
    </row>
    <row r="32" spans="1:21" x14ac:dyDescent="0.15">
      <c r="A32" s="20" t="s">
        <v>53</v>
      </c>
      <c r="B32" s="20" t="s">
        <v>54</v>
      </c>
      <c r="C32" s="21">
        <v>200026</v>
      </c>
      <c r="D32" s="22">
        <v>41928</v>
      </c>
      <c r="O32" s="6"/>
      <c r="P32" s="6"/>
      <c r="Q32" s="6"/>
      <c r="R32" s="6"/>
      <c r="S32" s="6"/>
      <c r="T32" s="6"/>
      <c r="U32" s="6"/>
    </row>
    <row r="33" spans="1:21" x14ac:dyDescent="0.15">
      <c r="A33" s="19" t="str">
        <f t="shared" ref="A33" si="8">HYPERLINK("#DATE!A1","OP220-1")</f>
        <v>OP220-1</v>
      </c>
      <c r="B33" s="20" t="s">
        <v>55</v>
      </c>
      <c r="C33" s="21">
        <v>200027</v>
      </c>
      <c r="D33" s="22">
        <v>41929</v>
      </c>
      <c r="O33" s="6"/>
      <c r="P33" s="6"/>
      <c r="Q33" s="6"/>
      <c r="R33" s="6"/>
      <c r="S33" s="6"/>
      <c r="T33" s="6"/>
      <c r="U33" s="6"/>
    </row>
    <row r="34" spans="1:21" x14ac:dyDescent="0.15">
      <c r="A34" s="20" t="s">
        <v>56</v>
      </c>
      <c r="B34" s="20" t="s">
        <v>57</v>
      </c>
      <c r="C34" s="21">
        <v>200028</v>
      </c>
      <c r="D34" s="22">
        <v>41930</v>
      </c>
      <c r="O34" s="9">
        <v>41889</v>
      </c>
      <c r="P34" s="9">
        <v>41890</v>
      </c>
      <c r="Q34" s="9">
        <v>41891</v>
      </c>
      <c r="R34" s="9">
        <v>41892</v>
      </c>
      <c r="S34" s="9">
        <v>41893</v>
      </c>
      <c r="T34" s="9">
        <v>41894</v>
      </c>
      <c r="U34" s="9">
        <v>41895</v>
      </c>
    </row>
    <row r="35" spans="1:21" x14ac:dyDescent="0.15">
      <c r="A35" s="20" t="s">
        <v>58</v>
      </c>
      <c r="B35" s="20" t="s">
        <v>59</v>
      </c>
      <c r="C35" s="21">
        <v>200029</v>
      </c>
      <c r="D35" s="22">
        <v>41931</v>
      </c>
      <c r="O35" s="8" t="str">
        <f>HYPERLINK("#出货!A31","OP212")</f>
        <v>OP212</v>
      </c>
      <c r="P35" s="8" t="str">
        <f>HYPERLINK("#出货!A32","OP212")</f>
        <v>OP212</v>
      </c>
      <c r="Q35" s="8" t="str">
        <f>HYPERLINK("#出货!A33","OP212")</f>
        <v>OP212</v>
      </c>
      <c r="R35" s="8" t="str">
        <f>HYPERLINK("#出货!A34","OP212")</f>
        <v>OP212</v>
      </c>
      <c r="S35" s="8" t="str">
        <f>HYPERLINK("#出货!A35","OP212")</f>
        <v>OP212</v>
      </c>
      <c r="T35" s="8" t="str">
        <f>HYPERLINK("#出货!A36","OP212")</f>
        <v>OP212</v>
      </c>
      <c r="U35" s="8" t="str">
        <f>HYPERLINK("#出货!A37","OP212")</f>
        <v>OP212</v>
      </c>
    </row>
    <row r="36" spans="1:21" x14ac:dyDescent="0.15">
      <c r="A36" s="19" t="str">
        <f t="shared" ref="A36" si="9">HYPERLINK("#DATE!A1","OP220-1")</f>
        <v>OP220-1</v>
      </c>
      <c r="B36" s="20" t="s">
        <v>60</v>
      </c>
      <c r="C36" s="21">
        <v>200030</v>
      </c>
      <c r="D36" s="22">
        <v>41932</v>
      </c>
      <c r="O36" s="6"/>
      <c r="P36" s="6"/>
      <c r="Q36" s="6"/>
      <c r="R36" s="6"/>
      <c r="S36" s="6"/>
      <c r="T36" s="6"/>
      <c r="U36" s="6"/>
    </row>
    <row r="37" spans="1:21" x14ac:dyDescent="0.15">
      <c r="A37" s="20" t="s">
        <v>61</v>
      </c>
      <c r="B37" s="20" t="s">
        <v>62</v>
      </c>
      <c r="C37" s="21">
        <v>200031</v>
      </c>
      <c r="D37" s="22">
        <v>41933</v>
      </c>
      <c r="O37" s="6"/>
      <c r="P37" s="6"/>
      <c r="Q37" s="6"/>
      <c r="R37" s="6"/>
      <c r="S37" s="6"/>
      <c r="T37" s="6"/>
      <c r="U37" s="6"/>
    </row>
    <row r="38" spans="1:21" x14ac:dyDescent="0.15">
      <c r="A38" s="20" t="s">
        <v>63</v>
      </c>
      <c r="B38" s="20" t="s">
        <v>64</v>
      </c>
      <c r="C38" s="21">
        <v>200032</v>
      </c>
      <c r="D38" s="22">
        <v>41934</v>
      </c>
      <c r="O38" s="9">
        <v>41896</v>
      </c>
      <c r="P38" s="9">
        <v>41897</v>
      </c>
      <c r="Q38" s="9">
        <v>41898</v>
      </c>
      <c r="R38" s="9">
        <v>41899</v>
      </c>
      <c r="S38" s="9">
        <v>41900</v>
      </c>
      <c r="T38" s="9">
        <v>41901</v>
      </c>
      <c r="U38" s="9">
        <v>41902</v>
      </c>
    </row>
    <row r="39" spans="1:21" x14ac:dyDescent="0.15">
      <c r="A39" s="19" t="str">
        <f t="shared" ref="A39" si="10">HYPERLINK("#DATE!A1","OP220-1")</f>
        <v>OP220-1</v>
      </c>
      <c r="B39" s="20" t="s">
        <v>65</v>
      </c>
      <c r="C39" s="21">
        <v>200033</v>
      </c>
      <c r="D39" s="22">
        <v>41935</v>
      </c>
      <c r="O39" s="8">
        <f>HYPERLINK("#出货!A38",)</f>
        <v>0</v>
      </c>
      <c r="P39" s="8">
        <f>HYPERLINK("#出货!A39",)</f>
        <v>0</v>
      </c>
      <c r="Q39" s="8">
        <f>HYPERLINK("#出货!A40",)</f>
        <v>0</v>
      </c>
      <c r="R39" s="8">
        <f>HYPERLINK("#出货!A41",)</f>
        <v>0</v>
      </c>
      <c r="S39" s="8">
        <f>HYPERLINK("#出货!A42",)</f>
        <v>0</v>
      </c>
      <c r="T39" s="8">
        <f>HYPERLINK("#出货!A43",)</f>
        <v>0</v>
      </c>
      <c r="U39" s="8">
        <f>HYPERLINK("#出货!A44",)</f>
        <v>0</v>
      </c>
    </row>
    <row r="40" spans="1:21" x14ac:dyDescent="0.15">
      <c r="A40" s="20" t="s">
        <v>66</v>
      </c>
      <c r="B40" s="20" t="s">
        <v>67</v>
      </c>
      <c r="C40" s="21">
        <v>200034</v>
      </c>
      <c r="D40" s="22">
        <v>41936</v>
      </c>
      <c r="O40" s="6"/>
      <c r="P40" s="6"/>
      <c r="Q40" s="6"/>
      <c r="R40" s="6"/>
      <c r="S40" s="6"/>
      <c r="T40" s="6"/>
      <c r="U40" s="6"/>
    </row>
    <row r="41" spans="1:21" x14ac:dyDescent="0.15">
      <c r="A41" s="20" t="s">
        <v>68</v>
      </c>
      <c r="B41" s="20" t="s">
        <v>69</v>
      </c>
      <c r="C41" s="21">
        <v>200035</v>
      </c>
      <c r="D41" s="22">
        <v>41937</v>
      </c>
      <c r="O41" s="6"/>
      <c r="P41" s="6"/>
      <c r="Q41" s="6"/>
      <c r="R41" s="6"/>
      <c r="S41" s="6"/>
      <c r="T41" s="6"/>
      <c r="U41" s="6"/>
    </row>
    <row r="42" spans="1:21" x14ac:dyDescent="0.15">
      <c r="A42" s="19" t="str">
        <f t="shared" ref="A42" si="11">HYPERLINK("#DATE!A1","OP220-1")</f>
        <v>OP220-1</v>
      </c>
      <c r="B42" s="20" t="s">
        <v>70</v>
      </c>
      <c r="C42" s="21">
        <v>200036</v>
      </c>
      <c r="D42" s="22">
        <v>41938</v>
      </c>
      <c r="O42" s="9">
        <v>41903</v>
      </c>
      <c r="P42" s="9">
        <v>41904</v>
      </c>
      <c r="Q42" s="9">
        <v>41905</v>
      </c>
      <c r="R42" s="9">
        <v>41906</v>
      </c>
      <c r="S42" s="9">
        <v>41907</v>
      </c>
      <c r="T42" s="9">
        <v>41908</v>
      </c>
      <c r="U42" s="9">
        <v>41909</v>
      </c>
    </row>
    <row r="43" spans="1:21" x14ac:dyDescent="0.15">
      <c r="A43" s="20" t="s">
        <v>71</v>
      </c>
      <c r="B43" s="20" t="s">
        <v>72</v>
      </c>
      <c r="C43" s="21">
        <v>200037</v>
      </c>
      <c r="D43" s="22">
        <v>41939</v>
      </c>
      <c r="O43" s="8">
        <f>HYPERLINK("#出货!A45",)</f>
        <v>0</v>
      </c>
      <c r="P43" s="8">
        <f>HYPERLINK("#出货!A46",)</f>
        <v>0</v>
      </c>
      <c r="Q43" s="8">
        <f>HYPERLINK("#出货!A47",)</f>
        <v>0</v>
      </c>
      <c r="R43" s="8">
        <f>HYPERLINK("#出货!A48",)</f>
        <v>0</v>
      </c>
      <c r="S43" s="8">
        <f>HYPERLINK("#出货!A49",)</f>
        <v>0</v>
      </c>
      <c r="T43" s="8">
        <f>HYPERLINK("#出货!A50",)</f>
        <v>0</v>
      </c>
      <c r="U43" s="8">
        <f>HYPERLINK("#出货!A51",)</f>
        <v>0</v>
      </c>
    </row>
    <row r="44" spans="1:21" x14ac:dyDescent="0.15">
      <c r="A44" s="20" t="s">
        <v>73</v>
      </c>
      <c r="B44" s="20" t="s">
        <v>74</v>
      </c>
      <c r="C44" s="21">
        <v>200038</v>
      </c>
      <c r="D44" s="22">
        <v>41940</v>
      </c>
      <c r="O44" s="6"/>
      <c r="P44" s="6"/>
      <c r="Q44" s="6"/>
      <c r="R44" s="6"/>
      <c r="S44" s="6"/>
      <c r="T44" s="6"/>
      <c r="U44" s="6"/>
    </row>
    <row r="45" spans="1:21" x14ac:dyDescent="0.15">
      <c r="A45" s="19" t="str">
        <f t="shared" ref="A45" si="12">HYPERLINK("#DATE!A1","OP220-1")</f>
        <v>OP220-1</v>
      </c>
      <c r="B45" s="20" t="s">
        <v>75</v>
      </c>
      <c r="C45" s="21">
        <v>200039</v>
      </c>
      <c r="D45" s="22">
        <v>41941</v>
      </c>
      <c r="O45" s="6"/>
      <c r="P45" s="6"/>
      <c r="Q45" s="6"/>
      <c r="R45" s="6"/>
      <c r="S45" s="6"/>
      <c r="T45" s="6"/>
      <c r="U45" s="6"/>
    </row>
    <row r="46" spans="1:21" x14ac:dyDescent="0.15">
      <c r="A46" s="20" t="s">
        <v>76</v>
      </c>
      <c r="B46" s="20" t="s">
        <v>77</v>
      </c>
      <c r="C46" s="21">
        <v>200040</v>
      </c>
      <c r="D46" s="22">
        <v>41942</v>
      </c>
      <c r="O46" s="9">
        <v>41910</v>
      </c>
      <c r="P46" s="9">
        <v>41911</v>
      </c>
      <c r="Q46" s="9">
        <v>41912</v>
      </c>
      <c r="R46" s="9"/>
      <c r="S46" s="9"/>
      <c r="T46" s="9"/>
      <c r="U46" s="9"/>
    </row>
    <row r="47" spans="1:21" x14ac:dyDescent="0.15">
      <c r="A47" s="20" t="s">
        <v>78</v>
      </c>
      <c r="B47" s="20" t="s">
        <v>79</v>
      </c>
      <c r="C47" s="21">
        <v>200041</v>
      </c>
      <c r="D47" s="22">
        <v>41943</v>
      </c>
      <c r="O47" s="8">
        <f>HYPERLINK("#出货!A52",)</f>
        <v>0</v>
      </c>
      <c r="P47" s="8">
        <f>HYPERLINK("#出货!A53",)</f>
        <v>0</v>
      </c>
      <c r="Q47" s="8">
        <f>HYPERLINK("#出货!A54",)</f>
        <v>0</v>
      </c>
      <c r="R47" s="6"/>
      <c r="S47" s="6"/>
      <c r="T47" s="6"/>
      <c r="U47" s="6"/>
    </row>
    <row r="48" spans="1:21" x14ac:dyDescent="0.15">
      <c r="A48" s="19" t="str">
        <f t="shared" ref="A48" si="13">HYPERLINK("#DATE!A1","OP220-1")</f>
        <v>OP220-1</v>
      </c>
      <c r="B48" s="20" t="s">
        <v>80</v>
      </c>
      <c r="C48" s="21">
        <v>200042</v>
      </c>
      <c r="D48" s="22">
        <v>41944</v>
      </c>
      <c r="O48" s="6"/>
      <c r="P48" s="6"/>
      <c r="Q48" s="6"/>
      <c r="R48" s="6"/>
      <c r="S48" s="6"/>
      <c r="T48" s="6"/>
      <c r="U48" s="6"/>
    </row>
    <row r="49" spans="1:21" x14ac:dyDescent="0.15">
      <c r="A49" s="20" t="s">
        <v>81</v>
      </c>
      <c r="B49" s="20" t="s">
        <v>82</v>
      </c>
      <c r="C49" s="21">
        <v>200043</v>
      </c>
      <c r="D49" s="22">
        <v>41945</v>
      </c>
      <c r="O49" s="6"/>
      <c r="P49" s="6"/>
      <c r="Q49" s="6"/>
      <c r="R49" s="6"/>
      <c r="S49" s="6"/>
      <c r="T49" s="6"/>
      <c r="U49" s="6"/>
    </row>
    <row r="50" spans="1:21" x14ac:dyDescent="0.15">
      <c r="A50" s="20" t="s">
        <v>83</v>
      </c>
      <c r="B50" s="20" t="s">
        <v>84</v>
      </c>
      <c r="C50" s="21">
        <v>200044</v>
      </c>
      <c r="D50" s="22">
        <v>41946</v>
      </c>
    </row>
    <row r="51" spans="1:21" x14ac:dyDescent="0.15">
      <c r="A51" s="19" t="str">
        <f t="shared" ref="A51" si="14">HYPERLINK("#DATE!A1","OP220-1")</f>
        <v>OP220-1</v>
      </c>
      <c r="B51" s="20" t="s">
        <v>85</v>
      </c>
      <c r="C51" s="21">
        <v>200045</v>
      </c>
      <c r="D51" s="22">
        <v>41947</v>
      </c>
    </row>
    <row r="52" spans="1:21" x14ac:dyDescent="0.15">
      <c r="A52" s="20" t="s">
        <v>86</v>
      </c>
      <c r="B52" s="20" t="s">
        <v>87</v>
      </c>
      <c r="C52" s="21">
        <v>200046</v>
      </c>
      <c r="D52" s="22">
        <v>41948</v>
      </c>
    </row>
    <row r="53" spans="1:21" x14ac:dyDescent="0.15">
      <c r="A53" s="20" t="s">
        <v>88</v>
      </c>
      <c r="B53" s="20" t="s">
        <v>89</v>
      </c>
      <c r="C53" s="21">
        <v>200047</v>
      </c>
      <c r="D53" s="22">
        <v>41949</v>
      </c>
    </row>
    <row r="54" spans="1:21" x14ac:dyDescent="0.15">
      <c r="A54" s="19" t="str">
        <f t="shared" ref="A54" si="15">HYPERLINK("#DATE!A1","OP220-1")</f>
        <v>OP220-1</v>
      </c>
      <c r="B54" s="20" t="s">
        <v>90</v>
      </c>
      <c r="C54" s="21">
        <v>200048</v>
      </c>
      <c r="D54" s="22">
        <v>41950</v>
      </c>
    </row>
    <row r="55" spans="1:21" x14ac:dyDescent="0.15">
      <c r="A55" s="20" t="s">
        <v>91</v>
      </c>
      <c r="B55" s="20" t="s">
        <v>92</v>
      </c>
      <c r="C55" s="21">
        <v>200049</v>
      </c>
      <c r="D55" s="22">
        <v>41951</v>
      </c>
    </row>
    <row r="56" spans="1:21" x14ac:dyDescent="0.15">
      <c r="A56" s="20" t="s">
        <v>93</v>
      </c>
      <c r="B56" s="20" t="s">
        <v>94</v>
      </c>
      <c r="C56" s="21">
        <v>200050</v>
      </c>
      <c r="D56" s="22">
        <v>41952</v>
      </c>
    </row>
    <row r="57" spans="1:21" x14ac:dyDescent="0.15">
      <c r="A57" s="19" t="str">
        <f t="shared" ref="A57" si="16">HYPERLINK("#DATE!A1","OP220-1")</f>
        <v>OP220-1</v>
      </c>
      <c r="B57" s="20" t="s">
        <v>95</v>
      </c>
      <c r="C57" s="21">
        <v>200051</v>
      </c>
      <c r="D57" s="22">
        <v>41953</v>
      </c>
    </row>
    <row r="58" spans="1:21" x14ac:dyDescent="0.15">
      <c r="A58" s="20" t="s">
        <v>96</v>
      </c>
      <c r="B58" s="20" t="s">
        <v>97</v>
      </c>
      <c r="C58" s="21">
        <v>200052</v>
      </c>
      <c r="D58" s="22">
        <v>41954</v>
      </c>
    </row>
    <row r="59" spans="1:21" x14ac:dyDescent="0.15">
      <c r="A59" s="20" t="s">
        <v>98</v>
      </c>
      <c r="B59" s="20" t="s">
        <v>99</v>
      </c>
      <c r="C59" s="21">
        <v>200053</v>
      </c>
      <c r="D59" s="22">
        <v>41955</v>
      </c>
    </row>
    <row r="60" spans="1:21" x14ac:dyDescent="0.15">
      <c r="A60" s="19" t="str">
        <f t="shared" ref="A60" si="17">HYPERLINK("#DATE!A1","OP220-1")</f>
        <v>OP220-1</v>
      </c>
      <c r="B60" s="20" t="s">
        <v>100</v>
      </c>
      <c r="C60" s="21">
        <v>200054</v>
      </c>
      <c r="D60" s="22">
        <v>41956</v>
      </c>
    </row>
    <row r="61" spans="1:21" x14ac:dyDescent="0.15">
      <c r="A61" s="20" t="s">
        <v>101</v>
      </c>
      <c r="B61" s="20" t="s">
        <v>102</v>
      </c>
      <c r="C61" s="21">
        <v>200055</v>
      </c>
      <c r="D61" s="22">
        <v>41957</v>
      </c>
    </row>
    <row r="62" spans="1:21" x14ac:dyDescent="0.15">
      <c r="A62" s="20" t="s">
        <v>103</v>
      </c>
      <c r="B62" s="20" t="s">
        <v>104</v>
      </c>
      <c r="C62" s="21">
        <v>200056</v>
      </c>
      <c r="D62" s="22">
        <v>41958</v>
      </c>
    </row>
    <row r="63" spans="1:21" x14ac:dyDescent="0.15">
      <c r="A63" s="19" t="str">
        <f t="shared" ref="A63" si="18">HYPERLINK("#DATE!A1","OP220-1")</f>
        <v>OP220-1</v>
      </c>
      <c r="B63" s="20" t="s">
        <v>105</v>
      </c>
      <c r="C63" s="21">
        <v>200057</v>
      </c>
      <c r="D63" s="22">
        <v>41959</v>
      </c>
    </row>
    <row r="64" spans="1:21" x14ac:dyDescent="0.15">
      <c r="A64" s="20" t="s">
        <v>106</v>
      </c>
      <c r="B64" s="20" t="s">
        <v>107</v>
      </c>
      <c r="C64" s="21">
        <v>200058</v>
      </c>
      <c r="D64" s="22">
        <v>41960</v>
      </c>
    </row>
    <row r="65" spans="1:4" x14ac:dyDescent="0.15">
      <c r="A65" s="20" t="s">
        <v>108</v>
      </c>
      <c r="B65" s="20" t="s">
        <v>109</v>
      </c>
      <c r="C65" s="21">
        <v>200059</v>
      </c>
      <c r="D65" s="22">
        <v>41961</v>
      </c>
    </row>
    <row r="66" spans="1:4" x14ac:dyDescent="0.15">
      <c r="A66" s="19" t="str">
        <f t="shared" ref="A66" si="19">HYPERLINK("#DATE!A1","OP220-1")</f>
        <v>OP220-1</v>
      </c>
      <c r="B66" s="20" t="s">
        <v>110</v>
      </c>
      <c r="C66" s="21">
        <v>200060</v>
      </c>
      <c r="D66" s="22">
        <v>41962</v>
      </c>
    </row>
    <row r="67" spans="1:4" x14ac:dyDescent="0.15">
      <c r="A67" s="20" t="s">
        <v>111</v>
      </c>
      <c r="B67" s="20" t="s">
        <v>112</v>
      </c>
      <c r="C67" s="21">
        <v>200061</v>
      </c>
      <c r="D67" s="22">
        <v>41963</v>
      </c>
    </row>
    <row r="68" spans="1:4" x14ac:dyDescent="0.15">
      <c r="A68" s="20" t="s">
        <v>113</v>
      </c>
      <c r="B68" s="20" t="s">
        <v>114</v>
      </c>
      <c r="C68" s="21">
        <v>200062</v>
      </c>
      <c r="D68" s="22">
        <v>41964</v>
      </c>
    </row>
    <row r="69" spans="1:4" x14ac:dyDescent="0.15">
      <c r="A69" s="19" t="str">
        <f t="shared" ref="A69" si="20">HYPERLINK("#DATE!A1","OP220-1")</f>
        <v>OP220-1</v>
      </c>
      <c r="B69" s="20" t="s">
        <v>115</v>
      </c>
      <c r="C69" s="21">
        <v>200063</v>
      </c>
      <c r="D69" s="22">
        <v>41965</v>
      </c>
    </row>
    <row r="70" spans="1:4" x14ac:dyDescent="0.15">
      <c r="A70" s="20" t="s">
        <v>116</v>
      </c>
      <c r="B70" s="20" t="s">
        <v>117</v>
      </c>
      <c r="C70" s="21">
        <v>200064</v>
      </c>
      <c r="D70" s="22">
        <v>41966</v>
      </c>
    </row>
    <row r="71" spans="1:4" x14ac:dyDescent="0.15">
      <c r="A71" s="20" t="s">
        <v>118</v>
      </c>
      <c r="B71" s="20" t="s">
        <v>119</v>
      </c>
      <c r="C71" s="21">
        <v>200065</v>
      </c>
      <c r="D71" s="22">
        <v>41967</v>
      </c>
    </row>
    <row r="72" spans="1:4" x14ac:dyDescent="0.15">
      <c r="A72" s="19" t="str">
        <f t="shared" ref="A72" si="21">HYPERLINK("#DATE!A1","OP220-1")</f>
        <v>OP220-1</v>
      </c>
      <c r="B72" s="20" t="s">
        <v>120</v>
      </c>
      <c r="C72" s="21">
        <v>200066</v>
      </c>
      <c r="D72" s="22">
        <v>41968</v>
      </c>
    </row>
    <row r="73" spans="1:4" x14ac:dyDescent="0.15">
      <c r="A73" s="20" t="s">
        <v>121</v>
      </c>
      <c r="B73" s="20" t="s">
        <v>122</v>
      </c>
      <c r="C73" s="21">
        <v>200067</v>
      </c>
      <c r="D73" s="22">
        <v>41969</v>
      </c>
    </row>
    <row r="74" spans="1:4" x14ac:dyDescent="0.15">
      <c r="A74" s="20" t="s">
        <v>123</v>
      </c>
      <c r="B74" s="20" t="s">
        <v>124</v>
      </c>
      <c r="C74" s="21">
        <v>200068</v>
      </c>
      <c r="D74" s="22">
        <v>41970</v>
      </c>
    </row>
    <row r="75" spans="1:4" x14ac:dyDescent="0.15">
      <c r="A75" s="19" t="str">
        <f t="shared" ref="A75" si="22">HYPERLINK("#DATE!A1","OP220-1")</f>
        <v>OP220-1</v>
      </c>
      <c r="B75" s="20" t="s">
        <v>125</v>
      </c>
      <c r="C75" s="21">
        <v>200069</v>
      </c>
      <c r="D75" s="22">
        <v>41971</v>
      </c>
    </row>
    <row r="76" spans="1:4" x14ac:dyDescent="0.15">
      <c r="A76" s="20" t="s">
        <v>126</v>
      </c>
      <c r="B76" s="20" t="s">
        <v>127</v>
      </c>
      <c r="C76" s="21">
        <v>200070</v>
      </c>
      <c r="D76" s="22">
        <v>41972</v>
      </c>
    </row>
    <row r="77" spans="1:4" x14ac:dyDescent="0.15">
      <c r="A77" s="20" t="s">
        <v>128</v>
      </c>
      <c r="B77" s="20" t="s">
        <v>129</v>
      </c>
      <c r="C77" s="21">
        <v>200071</v>
      </c>
      <c r="D77" s="22">
        <v>41973</v>
      </c>
    </row>
    <row r="78" spans="1:4" x14ac:dyDescent="0.15">
      <c r="A78" s="19" t="str">
        <f t="shared" ref="A78" si="23">HYPERLINK("#DATE!A1","OP220-1")</f>
        <v>OP220-1</v>
      </c>
      <c r="B78" s="20" t="s">
        <v>130</v>
      </c>
      <c r="C78" s="21">
        <v>200072</v>
      </c>
      <c r="D78" s="22">
        <v>41974</v>
      </c>
    </row>
    <row r="79" spans="1:4" x14ac:dyDescent="0.15">
      <c r="A79" s="20" t="s">
        <v>131</v>
      </c>
      <c r="B79" s="20" t="s">
        <v>132</v>
      </c>
      <c r="C79" s="21">
        <v>200073</v>
      </c>
      <c r="D79" s="22">
        <v>41975</v>
      </c>
    </row>
    <row r="80" spans="1:4" x14ac:dyDescent="0.15">
      <c r="A80" s="20" t="s">
        <v>133</v>
      </c>
      <c r="B80" s="20" t="s">
        <v>134</v>
      </c>
      <c r="C80" s="21">
        <v>200074</v>
      </c>
      <c r="D80" s="22">
        <v>41976</v>
      </c>
    </row>
    <row r="81" spans="1:4" x14ac:dyDescent="0.15">
      <c r="A81" s="19" t="str">
        <f t="shared" ref="A81" si="24">HYPERLINK("#DATE!A1","OP220-1")</f>
        <v>OP220-1</v>
      </c>
      <c r="B81" s="20" t="s">
        <v>135</v>
      </c>
      <c r="C81" s="21">
        <v>200075</v>
      </c>
      <c r="D81" s="22">
        <v>41977</v>
      </c>
    </row>
    <row r="82" spans="1:4" x14ac:dyDescent="0.15">
      <c r="A82" s="20" t="s">
        <v>136</v>
      </c>
      <c r="B82" s="20" t="s">
        <v>137</v>
      </c>
      <c r="C82" s="21">
        <v>200076</v>
      </c>
      <c r="D82" s="22">
        <v>41978</v>
      </c>
    </row>
    <row r="83" spans="1:4" x14ac:dyDescent="0.15">
      <c r="A83" s="20" t="s">
        <v>138</v>
      </c>
      <c r="B83" s="20" t="s">
        <v>139</v>
      </c>
      <c r="C83" s="21">
        <v>200077</v>
      </c>
      <c r="D83" s="22">
        <v>41979</v>
      </c>
    </row>
    <row r="84" spans="1:4" x14ac:dyDescent="0.15">
      <c r="A84" s="19" t="str">
        <f t="shared" ref="A84" si="25">HYPERLINK("#DATE!A1","OP220-1")</f>
        <v>OP220-1</v>
      </c>
      <c r="B84" s="20" t="s">
        <v>140</v>
      </c>
      <c r="C84" s="21">
        <v>200078</v>
      </c>
      <c r="D84" s="22">
        <v>41980</v>
      </c>
    </row>
    <row r="85" spans="1:4" x14ac:dyDescent="0.15">
      <c r="A85" s="20" t="s">
        <v>141</v>
      </c>
      <c r="B85" s="20" t="s">
        <v>142</v>
      </c>
      <c r="C85" s="21">
        <v>200079</v>
      </c>
      <c r="D85" s="22">
        <v>41981</v>
      </c>
    </row>
    <row r="86" spans="1:4" x14ac:dyDescent="0.15">
      <c r="A86" s="20" t="s">
        <v>143</v>
      </c>
      <c r="B86" s="20" t="s">
        <v>144</v>
      </c>
      <c r="C86" s="21">
        <v>200080</v>
      </c>
      <c r="D86" s="22">
        <v>41982</v>
      </c>
    </row>
    <row r="87" spans="1:4" x14ac:dyDescent="0.15">
      <c r="A87" s="19" t="str">
        <f t="shared" ref="A87" si="26">HYPERLINK("#DATE!A1","OP220-1")</f>
        <v>OP220-1</v>
      </c>
      <c r="B87" s="20" t="s">
        <v>145</v>
      </c>
      <c r="C87" s="21">
        <v>200081</v>
      </c>
      <c r="D87" s="22">
        <v>41983</v>
      </c>
    </row>
    <row r="88" spans="1:4" x14ac:dyDescent="0.15">
      <c r="A88" s="20" t="s">
        <v>146</v>
      </c>
      <c r="B88" s="20" t="s">
        <v>147</v>
      </c>
      <c r="C88" s="21">
        <v>200082</v>
      </c>
      <c r="D88" s="22">
        <v>41984</v>
      </c>
    </row>
    <row r="89" spans="1:4" x14ac:dyDescent="0.15">
      <c r="A89" s="20" t="s">
        <v>148</v>
      </c>
      <c r="B89" s="20" t="s">
        <v>149</v>
      </c>
      <c r="C89" s="21">
        <v>200083</v>
      </c>
      <c r="D89" s="22">
        <v>41985</v>
      </c>
    </row>
    <row r="90" spans="1:4" x14ac:dyDescent="0.15">
      <c r="A90" s="19" t="str">
        <f t="shared" ref="A90" si="27">HYPERLINK("#DATE!A1","OP220-1")</f>
        <v>OP220-1</v>
      </c>
      <c r="B90" s="20" t="s">
        <v>150</v>
      </c>
      <c r="C90" s="21">
        <v>200084</v>
      </c>
      <c r="D90" s="22">
        <v>41986</v>
      </c>
    </row>
    <row r="91" spans="1:4" x14ac:dyDescent="0.15">
      <c r="A91" s="20" t="s">
        <v>151</v>
      </c>
      <c r="B91" s="20" t="s">
        <v>152</v>
      </c>
      <c r="C91" s="21">
        <v>200085</v>
      </c>
      <c r="D91" s="22">
        <v>41987</v>
      </c>
    </row>
    <row r="92" spans="1:4" x14ac:dyDescent="0.15">
      <c r="A92" s="20" t="s">
        <v>153</v>
      </c>
      <c r="B92" s="20" t="s">
        <v>154</v>
      </c>
      <c r="C92" s="21">
        <v>200086</v>
      </c>
      <c r="D92" s="22">
        <v>41988</v>
      </c>
    </row>
    <row r="93" spans="1:4" x14ac:dyDescent="0.15">
      <c r="A93" s="19" t="str">
        <f t="shared" ref="A93" si="28">HYPERLINK("#DATE!A1","OP220-1")</f>
        <v>OP220-1</v>
      </c>
      <c r="B93" s="20" t="s">
        <v>155</v>
      </c>
      <c r="C93" s="21">
        <v>200087</v>
      </c>
      <c r="D93" s="22">
        <v>41989</v>
      </c>
    </row>
    <row r="94" spans="1:4" x14ac:dyDescent="0.15">
      <c r="A94" s="20" t="s">
        <v>156</v>
      </c>
      <c r="B94" s="20" t="s">
        <v>157</v>
      </c>
      <c r="C94" s="21">
        <v>200088</v>
      </c>
      <c r="D94" s="22">
        <v>41990</v>
      </c>
    </row>
    <row r="95" spans="1:4" x14ac:dyDescent="0.15">
      <c r="A95" s="20" t="s">
        <v>158</v>
      </c>
      <c r="B95" s="20" t="s">
        <v>159</v>
      </c>
      <c r="C95" s="21">
        <v>200089</v>
      </c>
      <c r="D95" s="22">
        <v>41991</v>
      </c>
    </row>
    <row r="96" spans="1:4" x14ac:dyDescent="0.15">
      <c r="A96" s="19" t="str">
        <f t="shared" ref="A96" si="29">HYPERLINK("#DATE!A1","OP220-1")</f>
        <v>OP220-1</v>
      </c>
      <c r="B96" s="20" t="s">
        <v>160</v>
      </c>
      <c r="C96" s="21">
        <v>200090</v>
      </c>
      <c r="D96" s="22">
        <v>41992</v>
      </c>
    </row>
    <row r="97" spans="1:4" x14ac:dyDescent="0.15">
      <c r="A97" s="20" t="s">
        <v>161</v>
      </c>
      <c r="B97" s="20" t="s">
        <v>162</v>
      </c>
      <c r="C97" s="21">
        <v>200091</v>
      </c>
      <c r="D97" s="22">
        <v>41993</v>
      </c>
    </row>
    <row r="98" spans="1:4" x14ac:dyDescent="0.15">
      <c r="A98" s="20" t="s">
        <v>163</v>
      </c>
      <c r="B98" s="20" t="s">
        <v>164</v>
      </c>
      <c r="C98" s="21">
        <v>200092</v>
      </c>
      <c r="D98" s="22">
        <v>41994</v>
      </c>
    </row>
    <row r="99" spans="1:4" x14ac:dyDescent="0.15">
      <c r="A99" s="19" t="str">
        <f t="shared" ref="A99" si="30">HYPERLINK("#DATE!A1","OP220-1")</f>
        <v>OP220-1</v>
      </c>
      <c r="B99" s="20" t="s">
        <v>165</v>
      </c>
      <c r="C99" s="21">
        <v>200093</v>
      </c>
      <c r="D99" s="22">
        <v>41995</v>
      </c>
    </row>
    <row r="100" spans="1:4" x14ac:dyDescent="0.15">
      <c r="A100" s="20" t="s">
        <v>166</v>
      </c>
      <c r="B100" s="20" t="s">
        <v>167</v>
      </c>
      <c r="C100" s="21">
        <v>200094</v>
      </c>
      <c r="D100" s="22">
        <v>41996</v>
      </c>
    </row>
    <row r="101" spans="1:4" x14ac:dyDescent="0.15">
      <c r="A101" s="20" t="s">
        <v>168</v>
      </c>
      <c r="B101" s="20" t="s">
        <v>169</v>
      </c>
      <c r="C101" s="21">
        <v>200095</v>
      </c>
      <c r="D101" s="22">
        <v>41997</v>
      </c>
    </row>
    <row r="102" spans="1:4" x14ac:dyDescent="0.15">
      <c r="A102" s="19" t="str">
        <f t="shared" ref="A102" si="31">HYPERLINK("#DATE!A1","OP220-1")</f>
        <v>OP220-1</v>
      </c>
      <c r="B102" s="20" t="s">
        <v>170</v>
      </c>
      <c r="C102" s="21">
        <v>200096</v>
      </c>
      <c r="D102" s="22">
        <v>41998</v>
      </c>
    </row>
    <row r="103" spans="1:4" x14ac:dyDescent="0.15">
      <c r="A103" s="20" t="s">
        <v>171</v>
      </c>
      <c r="B103" s="20" t="s">
        <v>172</v>
      </c>
      <c r="C103" s="21">
        <v>200097</v>
      </c>
      <c r="D103" s="22">
        <v>41999</v>
      </c>
    </row>
    <row r="104" spans="1:4" x14ac:dyDescent="0.15">
      <c r="A104" s="20" t="s">
        <v>173</v>
      </c>
      <c r="B104" s="20" t="s">
        <v>174</v>
      </c>
      <c r="C104" s="21">
        <v>200098</v>
      </c>
      <c r="D104" s="22">
        <v>42000</v>
      </c>
    </row>
    <row r="105" spans="1:4" x14ac:dyDescent="0.15">
      <c r="A105" s="19" t="str">
        <f t="shared" ref="A105" si="32">HYPERLINK("#DATE!A1","OP220-1")</f>
        <v>OP220-1</v>
      </c>
      <c r="B105" s="20" t="s">
        <v>175</v>
      </c>
      <c r="C105" s="21">
        <v>200099</v>
      </c>
      <c r="D105" s="22">
        <v>42001</v>
      </c>
    </row>
    <row r="106" spans="1:4" x14ac:dyDescent="0.15">
      <c r="A106" s="20" t="s">
        <v>176</v>
      </c>
      <c r="B106" s="20" t="s">
        <v>177</v>
      </c>
      <c r="C106" s="21">
        <v>200100</v>
      </c>
      <c r="D106" s="22">
        <v>42002</v>
      </c>
    </row>
    <row r="107" spans="1:4" x14ac:dyDescent="0.15">
      <c r="A107" s="20" t="s">
        <v>178</v>
      </c>
      <c r="B107" s="20" t="s">
        <v>179</v>
      </c>
      <c r="C107" s="21">
        <v>200101</v>
      </c>
      <c r="D107" s="22">
        <v>42003</v>
      </c>
    </row>
    <row r="108" spans="1:4" x14ac:dyDescent="0.15">
      <c r="A108" s="19" t="str">
        <f t="shared" ref="A108" si="33">HYPERLINK("#DATE!A1","OP220-1")</f>
        <v>OP220-1</v>
      </c>
      <c r="B108" s="20" t="s">
        <v>180</v>
      </c>
      <c r="C108" s="21">
        <v>200102</v>
      </c>
      <c r="D108" s="22">
        <v>42004</v>
      </c>
    </row>
    <row r="109" spans="1:4" x14ac:dyDescent="0.15">
      <c r="A109" s="20" t="s">
        <v>181</v>
      </c>
      <c r="B109" s="20" t="s">
        <v>182</v>
      </c>
      <c r="C109" s="21">
        <v>200103</v>
      </c>
      <c r="D109" s="22">
        <v>42005</v>
      </c>
    </row>
    <row r="110" spans="1:4" x14ac:dyDescent="0.15">
      <c r="A110" s="20" t="s">
        <v>183</v>
      </c>
      <c r="B110" s="20" t="s">
        <v>184</v>
      </c>
      <c r="C110" s="21">
        <v>200104</v>
      </c>
      <c r="D110" s="22">
        <v>42006</v>
      </c>
    </row>
    <row r="111" spans="1:4" x14ac:dyDescent="0.15">
      <c r="A111" s="19" t="str">
        <f t="shared" ref="A111" si="34">HYPERLINK("#DATE!A1","OP220-1")</f>
        <v>OP220-1</v>
      </c>
      <c r="B111" s="20" t="s">
        <v>185</v>
      </c>
      <c r="C111" s="21">
        <v>200105</v>
      </c>
      <c r="D111" s="22">
        <v>42007</v>
      </c>
    </row>
    <row r="112" spans="1:4" x14ac:dyDescent="0.15">
      <c r="A112" s="20" t="s">
        <v>186</v>
      </c>
      <c r="B112" s="20" t="s">
        <v>187</v>
      </c>
      <c r="C112" s="21">
        <v>200106</v>
      </c>
      <c r="D112" s="22">
        <v>42008</v>
      </c>
    </row>
    <row r="113" spans="1:4" x14ac:dyDescent="0.15">
      <c r="A113" s="20" t="s">
        <v>188</v>
      </c>
      <c r="B113" s="20" t="s">
        <v>189</v>
      </c>
      <c r="C113" s="21">
        <v>200107</v>
      </c>
      <c r="D113" s="22">
        <v>42009</v>
      </c>
    </row>
    <row r="114" spans="1:4" x14ac:dyDescent="0.15">
      <c r="A114" s="19" t="str">
        <f t="shared" ref="A114" si="35">HYPERLINK("#DATE!A1","OP220-1")</f>
        <v>OP220-1</v>
      </c>
      <c r="B114" s="20" t="s">
        <v>190</v>
      </c>
      <c r="C114" s="21">
        <v>200108</v>
      </c>
      <c r="D114" s="22">
        <v>42010</v>
      </c>
    </row>
    <row r="115" spans="1:4" x14ac:dyDescent="0.15">
      <c r="A115" s="20" t="s">
        <v>191</v>
      </c>
      <c r="B115" s="20" t="s">
        <v>192</v>
      </c>
      <c r="C115" s="21">
        <v>200109</v>
      </c>
      <c r="D115" s="22">
        <v>42011</v>
      </c>
    </row>
    <row r="116" spans="1:4" x14ac:dyDescent="0.15">
      <c r="A116" s="20" t="s">
        <v>193</v>
      </c>
      <c r="B116" s="20" t="s">
        <v>194</v>
      </c>
      <c r="C116" s="21">
        <v>200110</v>
      </c>
      <c r="D116" s="22">
        <v>42012</v>
      </c>
    </row>
    <row r="117" spans="1:4" x14ac:dyDescent="0.15">
      <c r="A117" s="19" t="str">
        <f t="shared" ref="A117" si="36">HYPERLINK("#DATE!A1","OP220-1")</f>
        <v>OP220-1</v>
      </c>
      <c r="B117" s="20" t="s">
        <v>195</v>
      </c>
      <c r="C117" s="21">
        <v>200111</v>
      </c>
      <c r="D117" s="22">
        <v>42013</v>
      </c>
    </row>
    <row r="118" spans="1:4" x14ac:dyDescent="0.15">
      <c r="A118" s="20" t="s">
        <v>196</v>
      </c>
      <c r="B118" s="20" t="s">
        <v>197</v>
      </c>
      <c r="C118" s="21">
        <v>200112</v>
      </c>
      <c r="D118" s="22">
        <v>42014</v>
      </c>
    </row>
    <row r="119" spans="1:4" x14ac:dyDescent="0.15">
      <c r="A119" s="20" t="s">
        <v>198</v>
      </c>
      <c r="B119" s="20" t="s">
        <v>199</v>
      </c>
      <c r="C119" s="21">
        <v>200113</v>
      </c>
      <c r="D119" s="22">
        <v>42015</v>
      </c>
    </row>
    <row r="120" spans="1:4" x14ac:dyDescent="0.15">
      <c r="A120" s="19" t="str">
        <f t="shared" ref="A120" si="37">HYPERLINK("#DATE!A1","OP220-1")</f>
        <v>OP220-1</v>
      </c>
      <c r="B120" s="20" t="s">
        <v>200</v>
      </c>
      <c r="C120" s="21">
        <v>200114</v>
      </c>
      <c r="D120" s="22">
        <v>42016</v>
      </c>
    </row>
    <row r="121" spans="1:4" x14ac:dyDescent="0.15">
      <c r="A121" s="20" t="s">
        <v>201</v>
      </c>
      <c r="B121" s="20" t="s">
        <v>202</v>
      </c>
      <c r="C121" s="21">
        <v>200115</v>
      </c>
      <c r="D121" s="22">
        <v>42017</v>
      </c>
    </row>
    <row r="122" spans="1:4" x14ac:dyDescent="0.15">
      <c r="A122" s="20" t="s">
        <v>203</v>
      </c>
      <c r="B122" s="20" t="s">
        <v>204</v>
      </c>
      <c r="C122" s="21">
        <v>200116</v>
      </c>
      <c r="D122" s="22">
        <v>42018</v>
      </c>
    </row>
    <row r="123" spans="1:4" x14ac:dyDescent="0.15">
      <c r="A123" s="19" t="str">
        <f t="shared" ref="A123" si="38">HYPERLINK("#DATE!A1","OP220-1")</f>
        <v>OP220-1</v>
      </c>
      <c r="B123" s="20" t="s">
        <v>205</v>
      </c>
      <c r="C123" s="21">
        <v>200117</v>
      </c>
      <c r="D123" s="22">
        <v>42019</v>
      </c>
    </row>
    <row r="124" spans="1:4" x14ac:dyDescent="0.15">
      <c r="A124" s="20" t="s">
        <v>206</v>
      </c>
      <c r="B124" s="20" t="s">
        <v>207</v>
      </c>
      <c r="C124" s="21">
        <v>200118</v>
      </c>
      <c r="D124" s="22">
        <v>42020</v>
      </c>
    </row>
    <row r="125" spans="1:4" x14ac:dyDescent="0.15">
      <c r="A125" s="20" t="s">
        <v>208</v>
      </c>
      <c r="B125" s="20" t="s">
        <v>209</v>
      </c>
      <c r="C125" s="21">
        <v>200119</v>
      </c>
      <c r="D125" s="22">
        <v>42021</v>
      </c>
    </row>
    <row r="126" spans="1:4" x14ac:dyDescent="0.15">
      <c r="A126" s="19" t="str">
        <f t="shared" ref="A126" si="39">HYPERLINK("#DATE!A1","OP220-1")</f>
        <v>OP220-1</v>
      </c>
      <c r="B126" s="20" t="s">
        <v>210</v>
      </c>
      <c r="C126" s="21">
        <v>200120</v>
      </c>
      <c r="D126" s="22">
        <v>42022</v>
      </c>
    </row>
    <row r="127" spans="1:4" x14ac:dyDescent="0.15">
      <c r="A127" s="20" t="s">
        <v>211</v>
      </c>
      <c r="B127" s="20" t="s">
        <v>212</v>
      </c>
      <c r="C127" s="21">
        <v>200121</v>
      </c>
      <c r="D127" s="22">
        <v>42023</v>
      </c>
    </row>
    <row r="128" spans="1:4" x14ac:dyDescent="0.15">
      <c r="A128" s="20" t="s">
        <v>213</v>
      </c>
      <c r="B128" s="20" t="s">
        <v>214</v>
      </c>
      <c r="C128" s="21">
        <v>200122</v>
      </c>
      <c r="D128" s="22">
        <v>42024</v>
      </c>
    </row>
    <row r="129" spans="1:4" x14ac:dyDescent="0.15">
      <c r="A129" s="19" t="str">
        <f t="shared" ref="A129" si="40">HYPERLINK("#DATE!A1","OP220-1")</f>
        <v>OP220-1</v>
      </c>
      <c r="B129" s="20" t="s">
        <v>215</v>
      </c>
      <c r="C129" s="21">
        <v>200123</v>
      </c>
      <c r="D129" s="22">
        <v>42025</v>
      </c>
    </row>
    <row r="130" spans="1:4" x14ac:dyDescent="0.15">
      <c r="A130" s="20" t="s">
        <v>216</v>
      </c>
      <c r="B130" s="20" t="s">
        <v>217</v>
      </c>
      <c r="C130" s="21">
        <v>200124</v>
      </c>
      <c r="D130" s="22">
        <v>42026</v>
      </c>
    </row>
    <row r="131" spans="1:4" x14ac:dyDescent="0.15">
      <c r="A131" s="20" t="s">
        <v>218</v>
      </c>
      <c r="B131" s="20" t="s">
        <v>219</v>
      </c>
      <c r="C131" s="21">
        <v>200125</v>
      </c>
      <c r="D131" s="22">
        <v>42027</v>
      </c>
    </row>
    <row r="132" spans="1:4" x14ac:dyDescent="0.15">
      <c r="A132" s="19" t="str">
        <f t="shared" ref="A132" si="41">HYPERLINK("#DATE!A1","OP220-1")</f>
        <v>OP220-1</v>
      </c>
      <c r="B132" s="20" t="s">
        <v>220</v>
      </c>
      <c r="C132" s="21">
        <v>200126</v>
      </c>
      <c r="D132" s="22">
        <v>42028</v>
      </c>
    </row>
    <row r="133" spans="1:4" x14ac:dyDescent="0.15">
      <c r="A133" s="20" t="s">
        <v>221</v>
      </c>
      <c r="B133" s="20" t="s">
        <v>222</v>
      </c>
      <c r="C133" s="21">
        <v>200127</v>
      </c>
      <c r="D133" s="22">
        <v>42029</v>
      </c>
    </row>
    <row r="134" spans="1:4" x14ac:dyDescent="0.15">
      <c r="A134" s="20" t="s">
        <v>223</v>
      </c>
      <c r="B134" s="20" t="s">
        <v>224</v>
      </c>
      <c r="C134" s="21">
        <v>200128</v>
      </c>
      <c r="D134" s="22">
        <v>42030</v>
      </c>
    </row>
    <row r="135" spans="1:4" x14ac:dyDescent="0.15">
      <c r="A135" s="19" t="str">
        <f t="shared" ref="A135" si="42">HYPERLINK("#DATE!A1","OP220-1")</f>
        <v>OP220-1</v>
      </c>
      <c r="B135" s="20" t="s">
        <v>225</v>
      </c>
      <c r="C135" s="21">
        <v>200129</v>
      </c>
      <c r="D135" s="22">
        <v>42031</v>
      </c>
    </row>
    <row r="136" spans="1:4" x14ac:dyDescent="0.15">
      <c r="A136" s="20" t="s">
        <v>226</v>
      </c>
      <c r="B136" s="20" t="s">
        <v>227</v>
      </c>
      <c r="C136" s="21">
        <v>200130</v>
      </c>
      <c r="D136" s="22">
        <v>42032</v>
      </c>
    </row>
    <row r="137" spans="1:4" x14ac:dyDescent="0.15">
      <c r="A137" s="20" t="s">
        <v>228</v>
      </c>
      <c r="B137" s="20" t="s">
        <v>229</v>
      </c>
      <c r="C137" s="21">
        <v>200131</v>
      </c>
      <c r="D137" s="22">
        <v>42033</v>
      </c>
    </row>
    <row r="138" spans="1:4" x14ac:dyDescent="0.15">
      <c r="A138" s="19" t="str">
        <f t="shared" ref="A138" si="43">HYPERLINK("#DATE!A1","OP220-1")</f>
        <v>OP220-1</v>
      </c>
      <c r="B138" s="20" t="s">
        <v>230</v>
      </c>
      <c r="C138" s="21">
        <v>200132</v>
      </c>
      <c r="D138" s="22">
        <v>42034</v>
      </c>
    </row>
    <row r="139" spans="1:4" x14ac:dyDescent="0.15">
      <c r="A139" s="20" t="s">
        <v>231</v>
      </c>
      <c r="B139" s="20" t="s">
        <v>232</v>
      </c>
      <c r="C139" s="21">
        <v>200133</v>
      </c>
      <c r="D139" s="22">
        <v>42035</v>
      </c>
    </row>
    <row r="140" spans="1:4" x14ac:dyDescent="0.15">
      <c r="A140" s="20" t="s">
        <v>233</v>
      </c>
      <c r="B140" s="20" t="s">
        <v>234</v>
      </c>
      <c r="C140" s="21">
        <v>200134</v>
      </c>
      <c r="D140" s="22">
        <v>42036</v>
      </c>
    </row>
    <row r="141" spans="1:4" x14ac:dyDescent="0.15">
      <c r="A141" s="19" t="str">
        <f t="shared" ref="A141" si="44">HYPERLINK("#DATE!A1","OP220-1")</f>
        <v>OP220-1</v>
      </c>
      <c r="B141" s="20" t="s">
        <v>235</v>
      </c>
      <c r="C141" s="21">
        <v>200135</v>
      </c>
      <c r="D141" s="22">
        <v>42037</v>
      </c>
    </row>
    <row r="142" spans="1:4" x14ac:dyDescent="0.15">
      <c r="A142" s="20" t="s">
        <v>236</v>
      </c>
      <c r="B142" s="20" t="s">
        <v>237</v>
      </c>
      <c r="C142" s="21">
        <v>200136</v>
      </c>
      <c r="D142" s="22">
        <v>42038</v>
      </c>
    </row>
    <row r="143" spans="1:4" x14ac:dyDescent="0.15">
      <c r="A143" s="20" t="s">
        <v>238</v>
      </c>
      <c r="B143" s="20" t="s">
        <v>239</v>
      </c>
      <c r="C143" s="21">
        <v>200137</v>
      </c>
      <c r="D143" s="22">
        <v>42039</v>
      </c>
    </row>
    <row r="144" spans="1:4" x14ac:dyDescent="0.15">
      <c r="A144" s="19" t="str">
        <f t="shared" ref="A144" si="45">HYPERLINK("#DATE!A1","OP220-1")</f>
        <v>OP220-1</v>
      </c>
      <c r="B144" s="20" t="s">
        <v>240</v>
      </c>
      <c r="C144" s="21">
        <v>200138</v>
      </c>
      <c r="D144" s="22">
        <v>42040</v>
      </c>
    </row>
    <row r="145" spans="1:4" x14ac:dyDescent="0.15">
      <c r="A145" s="20" t="s">
        <v>241</v>
      </c>
      <c r="B145" s="20" t="s">
        <v>242</v>
      </c>
      <c r="C145" s="21">
        <v>200139</v>
      </c>
      <c r="D145" s="22">
        <v>42041</v>
      </c>
    </row>
    <row r="146" spans="1:4" x14ac:dyDescent="0.15">
      <c r="A146" s="20" t="s">
        <v>243</v>
      </c>
      <c r="B146" s="20" t="s">
        <v>244</v>
      </c>
      <c r="C146" s="21">
        <v>200140</v>
      </c>
      <c r="D146" s="22">
        <v>42042</v>
      </c>
    </row>
    <row r="147" spans="1:4" x14ac:dyDescent="0.15">
      <c r="A147" s="19" t="str">
        <f t="shared" ref="A147" si="46">HYPERLINK("#DATE!A1","OP220-1")</f>
        <v>OP220-1</v>
      </c>
      <c r="B147" s="20" t="s">
        <v>245</v>
      </c>
      <c r="C147" s="21">
        <v>200141</v>
      </c>
      <c r="D147" s="22">
        <v>42043</v>
      </c>
    </row>
    <row r="148" spans="1:4" x14ac:dyDescent="0.15">
      <c r="A148" s="20" t="s">
        <v>246</v>
      </c>
      <c r="B148" s="20" t="s">
        <v>247</v>
      </c>
      <c r="C148" s="21">
        <v>200142</v>
      </c>
      <c r="D148" s="22">
        <v>42044</v>
      </c>
    </row>
    <row r="149" spans="1:4" x14ac:dyDescent="0.15">
      <c r="A149" s="20" t="s">
        <v>248</v>
      </c>
      <c r="B149" s="20" t="s">
        <v>249</v>
      </c>
      <c r="C149" s="21">
        <v>200143</v>
      </c>
      <c r="D149" s="22">
        <v>42045</v>
      </c>
    </row>
    <row r="150" spans="1:4" x14ac:dyDescent="0.15">
      <c r="A150" s="19" t="str">
        <f t="shared" ref="A150" si="47">HYPERLINK("#DATE!A1","OP220-1")</f>
        <v>OP220-1</v>
      </c>
      <c r="B150" s="20" t="s">
        <v>250</v>
      </c>
      <c r="C150" s="21">
        <v>200144</v>
      </c>
      <c r="D150" s="22">
        <v>42046</v>
      </c>
    </row>
    <row r="151" spans="1:4" x14ac:dyDescent="0.15">
      <c r="A151" s="20" t="s">
        <v>251</v>
      </c>
      <c r="B151" s="20" t="s">
        <v>252</v>
      </c>
      <c r="C151" s="21">
        <v>200145</v>
      </c>
      <c r="D151" s="22">
        <v>42047</v>
      </c>
    </row>
    <row r="152" spans="1:4" x14ac:dyDescent="0.15">
      <c r="A152" s="20" t="s">
        <v>253</v>
      </c>
      <c r="B152" s="20" t="s">
        <v>254</v>
      </c>
      <c r="C152" s="21">
        <v>200146</v>
      </c>
      <c r="D152" s="22">
        <v>42048</v>
      </c>
    </row>
    <row r="153" spans="1:4" x14ac:dyDescent="0.15">
      <c r="A153" s="19" t="str">
        <f t="shared" ref="A153" si="48">HYPERLINK("#DATE!A1","OP220-1")</f>
        <v>OP220-1</v>
      </c>
      <c r="B153" s="20" t="s">
        <v>255</v>
      </c>
      <c r="C153" s="21">
        <v>200147</v>
      </c>
      <c r="D153" s="22">
        <v>42049</v>
      </c>
    </row>
    <row r="154" spans="1:4" x14ac:dyDescent="0.15">
      <c r="A154" s="20" t="s">
        <v>256</v>
      </c>
      <c r="B154" s="20" t="s">
        <v>257</v>
      </c>
      <c r="C154" s="21">
        <v>200148</v>
      </c>
      <c r="D154" s="22">
        <v>42050</v>
      </c>
    </row>
    <row r="155" spans="1:4" x14ac:dyDescent="0.15">
      <c r="A155" s="20" t="s">
        <v>258</v>
      </c>
      <c r="B155" s="20" t="s">
        <v>259</v>
      </c>
      <c r="C155" s="21">
        <v>200149</v>
      </c>
      <c r="D155" s="22">
        <v>42051</v>
      </c>
    </row>
    <row r="156" spans="1:4" x14ac:dyDescent="0.15">
      <c r="A156" s="19" t="str">
        <f t="shared" ref="A156" si="49">HYPERLINK("#DATE!A1","OP220-1")</f>
        <v>OP220-1</v>
      </c>
      <c r="B156" s="20" t="s">
        <v>260</v>
      </c>
      <c r="C156" s="21">
        <v>200150</v>
      </c>
      <c r="D156" s="22">
        <v>42052</v>
      </c>
    </row>
    <row r="157" spans="1:4" x14ac:dyDescent="0.15">
      <c r="A157" s="20" t="s">
        <v>261</v>
      </c>
      <c r="B157" s="20" t="s">
        <v>262</v>
      </c>
      <c r="C157" s="21">
        <v>200151</v>
      </c>
      <c r="D157" s="22">
        <v>42053</v>
      </c>
    </row>
    <row r="158" spans="1:4" x14ac:dyDescent="0.15">
      <c r="A158" s="20" t="s">
        <v>263</v>
      </c>
      <c r="B158" s="20" t="s">
        <v>264</v>
      </c>
      <c r="C158" s="21">
        <v>200152</v>
      </c>
      <c r="D158" s="22">
        <v>42054</v>
      </c>
    </row>
    <row r="159" spans="1:4" x14ac:dyDescent="0.15">
      <c r="A159" s="19" t="str">
        <f t="shared" ref="A159" si="50">HYPERLINK("#DATE!A1","OP220-1")</f>
        <v>OP220-1</v>
      </c>
      <c r="B159" s="20" t="s">
        <v>265</v>
      </c>
      <c r="C159" s="21">
        <v>200153</v>
      </c>
      <c r="D159" s="22">
        <v>42055</v>
      </c>
    </row>
    <row r="160" spans="1:4" x14ac:dyDescent="0.15">
      <c r="A160" s="20" t="s">
        <v>266</v>
      </c>
      <c r="B160" s="20" t="s">
        <v>267</v>
      </c>
      <c r="C160" s="21">
        <v>200154</v>
      </c>
      <c r="D160" s="22">
        <v>42056</v>
      </c>
    </row>
    <row r="161" spans="1:4" x14ac:dyDescent="0.15">
      <c r="A161" s="20" t="s">
        <v>268</v>
      </c>
      <c r="B161" s="20" t="s">
        <v>269</v>
      </c>
      <c r="C161" s="21">
        <v>200155</v>
      </c>
      <c r="D161" s="22">
        <v>42057</v>
      </c>
    </row>
    <row r="162" spans="1:4" x14ac:dyDescent="0.15">
      <c r="A162" s="19" t="str">
        <f t="shared" ref="A162" si="51">HYPERLINK("#DATE!A1","OP220-1")</f>
        <v>OP220-1</v>
      </c>
      <c r="B162" s="20" t="s">
        <v>270</v>
      </c>
      <c r="C162" s="21">
        <v>200156</v>
      </c>
      <c r="D162" s="22">
        <v>42058</v>
      </c>
    </row>
    <row r="163" spans="1:4" x14ac:dyDescent="0.15">
      <c r="A163" s="20" t="s">
        <v>271</v>
      </c>
      <c r="B163" s="20" t="s">
        <v>272</v>
      </c>
      <c r="C163" s="21">
        <v>200157</v>
      </c>
      <c r="D163" s="22">
        <v>42059</v>
      </c>
    </row>
    <row r="164" spans="1:4" x14ac:dyDescent="0.15">
      <c r="A164" s="20" t="s">
        <v>273</v>
      </c>
      <c r="B164" s="20" t="s">
        <v>274</v>
      </c>
      <c r="C164" s="21">
        <v>200158</v>
      </c>
      <c r="D164" s="22">
        <v>42060</v>
      </c>
    </row>
    <row r="165" spans="1:4" x14ac:dyDescent="0.15">
      <c r="A165" s="19" t="str">
        <f t="shared" ref="A165" si="52">HYPERLINK("#DATE!A1","OP220-1")</f>
        <v>OP220-1</v>
      </c>
      <c r="B165" s="20" t="s">
        <v>275</v>
      </c>
      <c r="C165" s="21">
        <v>200159</v>
      </c>
      <c r="D165" s="22">
        <v>42061</v>
      </c>
    </row>
    <row r="166" spans="1:4" x14ac:dyDescent="0.15">
      <c r="A166" s="20" t="s">
        <v>276</v>
      </c>
      <c r="B166" s="20" t="s">
        <v>277</v>
      </c>
      <c r="C166" s="21">
        <v>200160</v>
      </c>
      <c r="D166" s="22">
        <v>42062</v>
      </c>
    </row>
    <row r="167" spans="1:4" x14ac:dyDescent="0.15">
      <c r="A167" s="20" t="s">
        <v>278</v>
      </c>
      <c r="B167" s="20" t="s">
        <v>279</v>
      </c>
      <c r="C167" s="21">
        <v>200161</v>
      </c>
      <c r="D167" s="22">
        <v>42063</v>
      </c>
    </row>
    <row r="168" spans="1:4" x14ac:dyDescent="0.15">
      <c r="A168" s="19" t="str">
        <f t="shared" ref="A168" si="53">HYPERLINK("#DATE!A1","OP220-1")</f>
        <v>OP220-1</v>
      </c>
      <c r="B168" s="20" t="s">
        <v>280</v>
      </c>
      <c r="C168" s="21">
        <v>200162</v>
      </c>
      <c r="D168" s="22">
        <v>42064</v>
      </c>
    </row>
    <row r="169" spans="1:4" x14ac:dyDescent="0.15">
      <c r="A169" s="20" t="s">
        <v>281</v>
      </c>
      <c r="B169" s="20" t="s">
        <v>282</v>
      </c>
      <c r="C169" s="21">
        <v>200163</v>
      </c>
      <c r="D169" s="22">
        <v>42065</v>
      </c>
    </row>
    <row r="170" spans="1:4" x14ac:dyDescent="0.15">
      <c r="A170" s="20" t="s">
        <v>283</v>
      </c>
      <c r="B170" s="20" t="s">
        <v>284</v>
      </c>
      <c r="C170" s="21">
        <v>200164</v>
      </c>
      <c r="D170" s="22">
        <v>42066</v>
      </c>
    </row>
    <row r="171" spans="1:4" x14ac:dyDescent="0.15">
      <c r="A171" s="19" t="str">
        <f t="shared" ref="A171" si="54">HYPERLINK("#DATE!A1","OP220-1")</f>
        <v>OP220-1</v>
      </c>
      <c r="B171" s="20" t="s">
        <v>285</v>
      </c>
      <c r="C171" s="21">
        <v>200165</v>
      </c>
      <c r="D171" s="22">
        <v>42067</v>
      </c>
    </row>
    <row r="172" spans="1:4" x14ac:dyDescent="0.15">
      <c r="A172" s="20" t="s">
        <v>286</v>
      </c>
      <c r="B172" s="20" t="s">
        <v>287</v>
      </c>
      <c r="C172" s="21">
        <v>200166</v>
      </c>
      <c r="D172" s="22">
        <v>42068</v>
      </c>
    </row>
    <row r="173" spans="1:4" x14ac:dyDescent="0.15">
      <c r="A173" s="20" t="s">
        <v>288</v>
      </c>
      <c r="B173" s="20" t="s">
        <v>289</v>
      </c>
      <c r="C173" s="21">
        <v>200167</v>
      </c>
      <c r="D173" s="22">
        <v>42069</v>
      </c>
    </row>
    <row r="174" spans="1:4" x14ac:dyDescent="0.15">
      <c r="A174" s="19" t="str">
        <f t="shared" ref="A174" si="55">HYPERLINK("#DATE!A1","OP220-1")</f>
        <v>OP220-1</v>
      </c>
      <c r="B174" s="20" t="s">
        <v>290</v>
      </c>
      <c r="C174" s="21">
        <v>200168</v>
      </c>
      <c r="D174" s="22">
        <v>42070</v>
      </c>
    </row>
    <row r="175" spans="1:4" x14ac:dyDescent="0.15">
      <c r="A175" s="20" t="s">
        <v>291</v>
      </c>
      <c r="B175" s="20" t="s">
        <v>292</v>
      </c>
      <c r="C175" s="21">
        <v>200169</v>
      </c>
      <c r="D175" s="22">
        <v>42071</v>
      </c>
    </row>
    <row r="176" spans="1:4" x14ac:dyDescent="0.15">
      <c r="A176" s="20" t="s">
        <v>293</v>
      </c>
      <c r="B176" s="20" t="s">
        <v>294</v>
      </c>
      <c r="C176" s="21">
        <v>200170</v>
      </c>
      <c r="D176" s="22">
        <v>42072</v>
      </c>
    </row>
    <row r="177" spans="1:4" x14ac:dyDescent="0.15">
      <c r="A177" s="19" t="str">
        <f t="shared" ref="A177" si="56">HYPERLINK("#DATE!A1","OP220-1")</f>
        <v>OP220-1</v>
      </c>
      <c r="B177" s="20" t="s">
        <v>295</v>
      </c>
      <c r="C177" s="21">
        <v>200171</v>
      </c>
      <c r="D177" s="22">
        <v>42073</v>
      </c>
    </row>
    <row r="178" spans="1:4" x14ac:dyDescent="0.15">
      <c r="A178" s="20" t="s">
        <v>296</v>
      </c>
      <c r="B178" s="20" t="s">
        <v>297</v>
      </c>
      <c r="C178" s="21">
        <v>200172</v>
      </c>
      <c r="D178" s="22">
        <v>42074</v>
      </c>
    </row>
    <row r="179" spans="1:4" x14ac:dyDescent="0.15">
      <c r="A179" s="20" t="s">
        <v>298</v>
      </c>
      <c r="B179" s="20" t="s">
        <v>299</v>
      </c>
      <c r="C179" s="21">
        <v>200173</v>
      </c>
      <c r="D179" s="22">
        <v>42075</v>
      </c>
    </row>
    <row r="180" spans="1:4" x14ac:dyDescent="0.15">
      <c r="A180" s="19" t="str">
        <f t="shared" ref="A180" si="57">HYPERLINK("#DATE!A1","OP220-1")</f>
        <v>OP220-1</v>
      </c>
      <c r="B180" s="20" t="s">
        <v>300</v>
      </c>
      <c r="C180" s="21">
        <v>200174</v>
      </c>
      <c r="D180" s="22">
        <v>42076</v>
      </c>
    </row>
    <row r="181" spans="1:4" x14ac:dyDescent="0.15">
      <c r="A181" s="20" t="s">
        <v>301</v>
      </c>
      <c r="B181" s="20" t="s">
        <v>302</v>
      </c>
      <c r="C181" s="21">
        <v>200175</v>
      </c>
      <c r="D181" s="22">
        <v>42077</v>
      </c>
    </row>
    <row r="182" spans="1:4" x14ac:dyDescent="0.15">
      <c r="A182" s="20" t="s">
        <v>303</v>
      </c>
      <c r="B182" s="20" t="s">
        <v>304</v>
      </c>
      <c r="C182" s="21">
        <v>200176</v>
      </c>
      <c r="D182" s="22">
        <v>42078</v>
      </c>
    </row>
    <row r="183" spans="1:4" x14ac:dyDescent="0.15">
      <c r="A183" s="19" t="str">
        <f t="shared" ref="A183" si="58">HYPERLINK("#DATE!A1","OP220-1")</f>
        <v>OP220-1</v>
      </c>
      <c r="B183" s="20" t="s">
        <v>305</v>
      </c>
      <c r="C183" s="21">
        <v>200177</v>
      </c>
      <c r="D183" s="22">
        <v>42079</v>
      </c>
    </row>
    <row r="184" spans="1:4" x14ac:dyDescent="0.15">
      <c r="A184" s="20" t="s">
        <v>306</v>
      </c>
      <c r="B184" s="20" t="s">
        <v>307</v>
      </c>
      <c r="C184" s="21">
        <v>200178</v>
      </c>
      <c r="D184" s="22">
        <v>42080</v>
      </c>
    </row>
    <row r="185" spans="1:4" x14ac:dyDescent="0.15">
      <c r="A185" s="20" t="s">
        <v>308</v>
      </c>
      <c r="B185" s="20" t="s">
        <v>309</v>
      </c>
      <c r="C185" s="21">
        <v>200179</v>
      </c>
      <c r="D185" s="22">
        <v>42081</v>
      </c>
    </row>
  </sheetData>
  <mergeCells count="3">
    <mergeCell ref="A1:D1"/>
    <mergeCell ref="O5:U5"/>
    <mergeCell ref="O28:U28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24"/>
  <sheetViews>
    <sheetView tabSelected="1" workbookViewId="0">
      <selection sqref="A1:G1048576"/>
    </sheetView>
  </sheetViews>
  <sheetFormatPr defaultRowHeight="13.5" x14ac:dyDescent="0.15"/>
  <cols>
    <col min="1" max="7" width="10.625" customWidth="1"/>
    <col min="8" max="8" width="13.125" customWidth="1"/>
    <col min="9" max="9" width="10.625" style="11" customWidth="1"/>
    <col min="10" max="15" width="10.625" customWidth="1"/>
    <col min="17" max="17" width="4.625" customWidth="1"/>
    <col min="18" max="18" width="19.125" style="11" customWidth="1"/>
  </cols>
  <sheetData>
    <row r="1" spans="1:18" ht="16.5" x14ac:dyDescent="0.15">
      <c r="A1" s="4"/>
      <c r="B1" s="4"/>
      <c r="C1" s="4"/>
      <c r="D1" s="4"/>
      <c r="E1" s="4"/>
      <c r="F1" s="4"/>
      <c r="G1" s="4"/>
    </row>
    <row r="2" spans="1:18" ht="22.5" x14ac:dyDescent="0.15">
      <c r="A2" s="29" t="s">
        <v>320</v>
      </c>
      <c r="B2" s="30"/>
      <c r="C2" s="30"/>
      <c r="D2" s="30"/>
      <c r="E2" s="30"/>
      <c r="F2" s="30"/>
      <c r="G2" s="30"/>
      <c r="I2" s="29" t="s">
        <v>319</v>
      </c>
      <c r="J2" s="30"/>
      <c r="K2" s="30"/>
      <c r="L2" s="30"/>
      <c r="M2" s="30"/>
      <c r="N2" s="30"/>
      <c r="O2" s="30"/>
      <c r="R2" s="13" t="s">
        <v>310</v>
      </c>
    </row>
    <row r="3" spans="1:18" ht="16.5" x14ac:dyDescent="0.15">
      <c r="A3" s="5" t="s">
        <v>14</v>
      </c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I3" s="5" t="s">
        <v>14</v>
      </c>
      <c r="J3" s="5" t="s">
        <v>8</v>
      </c>
      <c r="K3" s="5" t="s">
        <v>9</v>
      </c>
      <c r="L3" s="5" t="s">
        <v>10</v>
      </c>
      <c r="M3" s="5" t="s">
        <v>11</v>
      </c>
      <c r="N3" s="5" t="s">
        <v>12</v>
      </c>
      <c r="O3" s="5" t="s">
        <v>13</v>
      </c>
      <c r="R3" s="12" t="str">
        <f>HYPERLINK("#生产!A1","返回生产报表")</f>
        <v>返回生产报表</v>
      </c>
    </row>
    <row r="4" spans="1:18" ht="16.5" x14ac:dyDescent="0.15">
      <c r="A4" s="9">
        <v>41847</v>
      </c>
      <c r="B4" s="9">
        <v>41848</v>
      </c>
      <c r="C4" s="9">
        <v>41849</v>
      </c>
      <c r="D4" s="9">
        <v>41850</v>
      </c>
      <c r="E4" s="9">
        <v>41851</v>
      </c>
      <c r="F4" s="9">
        <v>41852</v>
      </c>
      <c r="G4" s="9">
        <v>41853</v>
      </c>
      <c r="I4" s="9"/>
      <c r="J4" s="9">
        <v>41883</v>
      </c>
      <c r="K4" s="9">
        <v>41884</v>
      </c>
      <c r="L4" s="9">
        <v>41885</v>
      </c>
      <c r="M4" s="9">
        <v>41886</v>
      </c>
      <c r="N4" s="9">
        <v>41887</v>
      </c>
      <c r="O4" s="9">
        <v>41888</v>
      </c>
      <c r="R4" s="11" t="str">
        <f>HYPERLINK("#配料!A1","返回配料报表")</f>
        <v>返回配料报表</v>
      </c>
    </row>
    <row r="5" spans="1:18" ht="16.5" x14ac:dyDescent="0.15">
      <c r="A5" s="8"/>
      <c r="B5" s="6"/>
      <c r="C5" s="6"/>
      <c r="D5" s="6"/>
      <c r="E5" s="6"/>
      <c r="F5" s="6"/>
      <c r="G5" s="6"/>
      <c r="I5" s="6"/>
      <c r="J5" s="6"/>
      <c r="K5" s="6"/>
      <c r="L5" s="6"/>
      <c r="M5" s="6"/>
      <c r="N5" s="6"/>
      <c r="O5" s="6"/>
    </row>
    <row r="6" spans="1:18" ht="16.5" x14ac:dyDescent="0.15">
      <c r="A6" s="8"/>
      <c r="B6" s="6"/>
      <c r="C6" s="6"/>
      <c r="D6" s="6"/>
      <c r="E6" s="6"/>
      <c r="F6" s="6"/>
      <c r="G6" s="6"/>
      <c r="I6" s="6"/>
      <c r="J6" s="6"/>
      <c r="K6" s="6"/>
      <c r="L6" s="6"/>
      <c r="M6" s="6"/>
      <c r="N6" s="6"/>
      <c r="O6" s="6"/>
    </row>
    <row r="7" spans="1:18" ht="16.5" x14ac:dyDescent="0.15">
      <c r="A7" s="8"/>
      <c r="B7" s="6"/>
      <c r="C7" s="6"/>
      <c r="D7" s="6"/>
      <c r="E7" s="6"/>
      <c r="F7" s="6"/>
      <c r="G7" s="6"/>
      <c r="I7" s="6"/>
      <c r="J7" s="6"/>
      <c r="K7" s="6"/>
      <c r="L7" s="6"/>
      <c r="M7" s="6"/>
      <c r="N7" s="6"/>
      <c r="O7" s="6"/>
    </row>
    <row r="8" spans="1:18" ht="20.100000000000001" customHeight="1" x14ac:dyDescent="0.15">
      <c r="A8" s="8"/>
      <c r="B8" s="6"/>
      <c r="C8" s="6"/>
      <c r="D8" s="6"/>
      <c r="E8" s="6"/>
      <c r="F8" s="6"/>
      <c r="G8" s="6"/>
      <c r="I8" s="9">
        <v>41889</v>
      </c>
      <c r="J8" s="9">
        <v>41890</v>
      </c>
      <c r="K8" s="9">
        <v>41891</v>
      </c>
      <c r="L8" s="9">
        <v>41892</v>
      </c>
      <c r="M8" s="9">
        <v>41893</v>
      </c>
      <c r="N8" s="9">
        <v>41894</v>
      </c>
      <c r="O8" s="9">
        <v>41895</v>
      </c>
      <c r="R8" s="12" t="str">
        <f>HYPERLINK("#采购!A1","返回采购报表")</f>
        <v>返回采购报表</v>
      </c>
    </row>
    <row r="9" spans="1:18" ht="16.5" x14ac:dyDescent="0.15">
      <c r="A9" s="9">
        <v>41854</v>
      </c>
      <c r="B9" s="9">
        <v>41855</v>
      </c>
      <c r="C9" s="9">
        <v>41856</v>
      </c>
      <c r="D9" s="9">
        <v>41857</v>
      </c>
      <c r="E9" s="9">
        <v>41858</v>
      </c>
      <c r="F9" s="9">
        <v>41859</v>
      </c>
      <c r="G9" s="9">
        <v>41860</v>
      </c>
      <c r="I9" s="6"/>
      <c r="J9" s="6"/>
      <c r="K9" s="6"/>
      <c r="L9" s="6"/>
      <c r="M9" s="6"/>
      <c r="N9" s="6"/>
      <c r="O9" s="6"/>
      <c r="R9" s="12" t="str">
        <f>HYPERLINK("#成品!A1","返回成品报表")</f>
        <v>返回成品报表</v>
      </c>
    </row>
    <row r="10" spans="1:18" ht="16.5" x14ac:dyDescent="0.15">
      <c r="A10" s="7"/>
      <c r="B10" s="7"/>
      <c r="C10" s="7"/>
      <c r="D10" s="7"/>
      <c r="E10" s="7"/>
      <c r="F10" s="7"/>
      <c r="G10" s="7"/>
      <c r="I10" s="6"/>
      <c r="J10" s="6"/>
      <c r="K10" s="6"/>
      <c r="L10" s="6"/>
      <c r="M10" s="6"/>
      <c r="N10" s="6"/>
      <c r="O10" s="6"/>
      <c r="R10" s="12"/>
    </row>
    <row r="11" spans="1:18" ht="16.5" x14ac:dyDescent="0.15">
      <c r="A11" s="7"/>
      <c r="B11" s="7"/>
      <c r="C11" s="7"/>
      <c r="D11" s="7"/>
      <c r="E11" s="7"/>
      <c r="F11" s="7"/>
      <c r="G11" s="7"/>
      <c r="I11" s="6"/>
      <c r="J11" s="6"/>
      <c r="K11" s="6"/>
      <c r="L11" s="6"/>
      <c r="M11" s="6"/>
      <c r="N11" s="6"/>
      <c r="O11" s="6"/>
      <c r="R11" s="12"/>
    </row>
    <row r="12" spans="1:18" ht="20.100000000000001" customHeight="1" x14ac:dyDescent="0.15">
      <c r="A12" s="7"/>
      <c r="B12" s="7"/>
      <c r="C12" s="7"/>
      <c r="D12" s="7"/>
      <c r="E12" s="7"/>
      <c r="F12" s="7"/>
      <c r="G12" s="7"/>
      <c r="I12" s="9">
        <v>41896</v>
      </c>
      <c r="J12" s="9">
        <v>41897</v>
      </c>
      <c r="K12" s="9">
        <v>41898</v>
      </c>
      <c r="L12" s="9">
        <v>41899</v>
      </c>
      <c r="M12" s="9">
        <v>41900</v>
      </c>
      <c r="N12" s="9">
        <v>41901</v>
      </c>
      <c r="O12" s="9">
        <v>41902</v>
      </c>
      <c r="R12" s="12" t="str">
        <f>HYPERLINK("#出货!A1","返回出货报表")</f>
        <v>返回出货报表</v>
      </c>
    </row>
    <row r="13" spans="1:18" ht="16.5" x14ac:dyDescent="0.15">
      <c r="A13" s="9">
        <v>41861</v>
      </c>
      <c r="B13" s="9">
        <v>41862</v>
      </c>
      <c r="C13" s="9">
        <v>41863</v>
      </c>
      <c r="D13" s="9">
        <v>41864</v>
      </c>
      <c r="E13" s="9">
        <v>41865</v>
      </c>
      <c r="F13" s="9">
        <v>41866</v>
      </c>
      <c r="G13" s="9">
        <v>41867</v>
      </c>
      <c r="I13" s="6"/>
      <c r="J13" s="6"/>
      <c r="K13" s="6"/>
      <c r="L13" s="6"/>
      <c r="M13" s="6"/>
      <c r="N13" s="6"/>
      <c r="O13" s="6"/>
    </row>
    <row r="14" spans="1:18" ht="16.5" x14ac:dyDescent="0.15">
      <c r="A14" s="6"/>
      <c r="B14" s="6"/>
      <c r="C14" s="6"/>
      <c r="D14" s="6"/>
      <c r="E14" s="6"/>
      <c r="F14" s="6"/>
      <c r="G14" s="6"/>
      <c r="I14" s="6"/>
      <c r="J14" s="6"/>
      <c r="K14" s="6"/>
      <c r="L14" s="6"/>
      <c r="M14" s="6"/>
      <c r="N14" s="6"/>
      <c r="O14" s="6"/>
    </row>
    <row r="15" spans="1:18" ht="16.5" x14ac:dyDescent="0.15">
      <c r="A15" s="6"/>
      <c r="B15" s="6"/>
      <c r="C15" s="6"/>
      <c r="D15" s="6"/>
      <c r="E15" s="6"/>
      <c r="F15" s="6"/>
      <c r="G15" s="6"/>
      <c r="I15" s="6"/>
      <c r="J15" s="6"/>
      <c r="K15" s="6"/>
      <c r="L15" s="6"/>
      <c r="M15" s="6"/>
      <c r="N15" s="6"/>
      <c r="O15" s="6"/>
    </row>
    <row r="16" spans="1:18" ht="20.100000000000001" customHeight="1" x14ac:dyDescent="0.15">
      <c r="A16" s="6"/>
      <c r="B16" s="6"/>
      <c r="C16" s="6"/>
      <c r="D16" s="6"/>
      <c r="E16" s="6"/>
      <c r="F16" s="6"/>
      <c r="G16" s="6"/>
      <c r="I16" s="9">
        <v>41903</v>
      </c>
      <c r="J16" s="9">
        <v>41904</v>
      </c>
      <c r="K16" s="9">
        <v>41905</v>
      </c>
      <c r="L16" s="9">
        <v>41906</v>
      </c>
      <c r="M16" s="9">
        <v>41907</v>
      </c>
      <c r="N16" s="9">
        <v>41908</v>
      </c>
      <c r="O16" s="9">
        <v>41909</v>
      </c>
    </row>
    <row r="17" spans="1:15" ht="16.5" x14ac:dyDescent="0.15">
      <c r="A17" s="9">
        <v>41868</v>
      </c>
      <c r="B17" s="9">
        <v>41869</v>
      </c>
      <c r="C17" s="9">
        <v>41870</v>
      </c>
      <c r="D17" s="9">
        <v>41871</v>
      </c>
      <c r="E17" s="9">
        <v>41872</v>
      </c>
      <c r="F17" s="9">
        <v>41873</v>
      </c>
      <c r="G17" s="9">
        <v>41874</v>
      </c>
      <c r="I17" s="6"/>
      <c r="J17" s="6"/>
      <c r="K17" s="6"/>
      <c r="L17" s="6"/>
      <c r="M17" s="6"/>
      <c r="N17" s="6"/>
      <c r="O17" s="6"/>
    </row>
    <row r="18" spans="1:15" ht="16.5" x14ac:dyDescent="0.15">
      <c r="A18" s="6"/>
      <c r="B18" s="6"/>
      <c r="C18" s="6"/>
      <c r="D18" s="6"/>
      <c r="E18" s="6"/>
      <c r="F18" s="6"/>
      <c r="G18" s="6"/>
      <c r="I18" s="6"/>
      <c r="J18" s="6"/>
      <c r="K18" s="6"/>
      <c r="L18" s="6"/>
      <c r="M18" s="6"/>
      <c r="N18" s="6"/>
      <c r="O18" s="6"/>
    </row>
    <row r="19" spans="1:15" ht="16.5" x14ac:dyDescent="0.15">
      <c r="A19" s="6"/>
      <c r="B19" s="6"/>
      <c r="C19" s="6"/>
      <c r="D19" s="6"/>
      <c r="E19" s="6"/>
      <c r="F19" s="6"/>
      <c r="G19" s="6"/>
      <c r="I19" s="6"/>
      <c r="J19" s="6"/>
      <c r="K19" s="6"/>
      <c r="L19" s="6"/>
      <c r="M19" s="6"/>
      <c r="N19" s="6"/>
      <c r="O19" s="6"/>
    </row>
    <row r="20" spans="1:15" ht="20.100000000000001" customHeight="1" x14ac:dyDescent="0.15">
      <c r="A20" s="6"/>
      <c r="B20" s="6"/>
      <c r="C20" s="6"/>
      <c r="D20" s="6"/>
      <c r="E20" s="6"/>
      <c r="F20" s="6"/>
      <c r="G20" s="6"/>
      <c r="I20" s="9">
        <v>41910</v>
      </c>
      <c r="J20" s="9">
        <v>41911</v>
      </c>
      <c r="K20" s="9">
        <v>41912</v>
      </c>
      <c r="L20" s="9"/>
      <c r="M20" s="9"/>
      <c r="N20" s="9"/>
      <c r="O20" s="9"/>
    </row>
    <row r="21" spans="1:15" ht="16.5" x14ac:dyDescent="0.15">
      <c r="A21" s="24">
        <v>41882</v>
      </c>
      <c r="B21" s="24"/>
      <c r="C21" s="24"/>
      <c r="D21" s="24"/>
      <c r="E21" s="24"/>
      <c r="F21" s="24"/>
      <c r="G21" s="24"/>
    </row>
    <row r="22" spans="1:15" ht="16.5" x14ac:dyDescent="0.15">
      <c r="A22" s="6"/>
      <c r="B22" s="6"/>
      <c r="C22" s="6"/>
      <c r="D22" s="6"/>
      <c r="E22" s="6"/>
      <c r="F22" s="6"/>
      <c r="G22" s="6"/>
    </row>
    <row r="23" spans="1:15" ht="16.5" x14ac:dyDescent="0.15">
      <c r="A23" s="6"/>
      <c r="B23" s="6"/>
      <c r="C23" s="6"/>
      <c r="D23" s="6"/>
      <c r="E23" s="6"/>
      <c r="F23" s="6"/>
      <c r="G23" s="6"/>
    </row>
    <row r="24" spans="1:15" ht="20.100000000000001" customHeight="1" x14ac:dyDescent="0.15">
      <c r="A24" s="6"/>
      <c r="B24" s="6"/>
      <c r="C24" s="6"/>
      <c r="D24" s="4"/>
      <c r="E24" s="4"/>
      <c r="F24" s="4"/>
      <c r="G24" s="4"/>
    </row>
  </sheetData>
  <sheetProtection sheet="1" objects="1" scenarios="1" selectLockedCells="1"/>
  <mergeCells count="2">
    <mergeCell ref="A2:G2"/>
    <mergeCell ref="I2:O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E31" sqref="E31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生产</vt:lpstr>
      <vt:lpstr>配料</vt:lpstr>
      <vt:lpstr>采购</vt:lpstr>
      <vt:lpstr>成品</vt:lpstr>
      <vt:lpstr>出货</vt:lpstr>
      <vt:lpstr>DATE</vt:lpstr>
      <vt:lpstr>Sheet7</vt:lpstr>
    </vt:vector>
  </TitlesOfParts>
  <Company>Sky123.Org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</dc:creator>
  <cp:lastModifiedBy>ts</cp:lastModifiedBy>
  <dcterms:created xsi:type="dcterms:W3CDTF">2014-08-05T06:57:25Z</dcterms:created>
  <dcterms:modified xsi:type="dcterms:W3CDTF">2014-08-08T00:30:53Z</dcterms:modified>
</cp:coreProperties>
</file>